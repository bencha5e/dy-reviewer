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tamp\Projects-Local\Debt Yield\"/>
    </mc:Choice>
  </mc:AlternateContent>
  <xr:revisionPtr revIDLastSave="0" documentId="13_ncr:1_{505092EB-8070-45DA-992C-5F4BC3C94222}" xr6:coauthVersionLast="47" xr6:coauthVersionMax="47" xr10:uidLastSave="{00000000-0000-0000-0000-000000000000}"/>
  <bookViews>
    <workbookView xWindow="-120" yWindow="-120" windowWidth="38640" windowHeight="15720" xr2:uid="{396FF61C-29B0-428D-8C5A-DB64FDC0641F}"/>
  </bookViews>
  <sheets>
    <sheet name="NEW OSAR" sheetId="45" r:id="rId1"/>
    <sheet name="Paydown Scenario" sheetId="41" state="hidden" r:id="rId2"/>
    <sheet name="Comm OSAR" sheetId="1" state="hidden" r:id="rId3"/>
    <sheet name="Operating Statement" sheetId="35" r:id="rId4"/>
    <sheet name="Rent Roll" sheetId="34" r:id="rId5"/>
    <sheet name="AR" sheetId="38" r:id="rId6"/>
    <sheet name="Tax" sheetId="40" r:id="rId7"/>
    <sheet name="Debt Service" sheetId="39" r:id="rId8"/>
    <sheet name="Variance Analysis" sheetId="37" r:id="rId9"/>
    <sheet name="Insurance" sheetId="43" r:id="rId10"/>
    <sheet name="Renovation Schedule" sheetId="44" r:id="rId11"/>
    <sheet name="Unit Mix" sheetId="29" state="hidden" r:id="rId12"/>
    <sheet name="Argus Comm Rollover Schedule" sheetId="5" state="hidden" r:id="rId13"/>
  </sheets>
  <externalReferences>
    <externalReference r:id="rId14"/>
  </externalReferences>
  <definedNames>
    <definedName name="_xlnm._FilterDatabase" localSheetId="4" hidden="1">'Rent Roll'!$A$6:$AG$6</definedName>
    <definedName name="CMNOTES">#REF!</definedName>
    <definedName name="GLNo">'[1]GL#'!$A$2:$A$1329</definedName>
    <definedName name="_xlnm.Print_Area" localSheetId="2">'Comm OSAR'!$C$1:$J$86</definedName>
    <definedName name="_xlnm.Print_Area" localSheetId="0">'NEW OSAR'!$B$1:$K$93</definedName>
    <definedName name="RESULTS">#REF!</definedName>
    <definedName name="Status">#REF!</definedName>
    <definedName name="wrn.Backup." hidden="1">{#N/A,#N/A,FALSE,"Insurance &amp; Tax Accrual";#N/A,#N/A,FALSE,"Recov. Capital";#N/A,#N/A,FALSE,"Utility - HVAC Reimb.";#N/A,#N/A,FALSE,"Accts. 1395, 2641, 1391";#N/A,#N/A,FALSE,"Ernst &amp; Young Amort. - 2663";#N/A,#N/A,FALSE,"Account 2663";#N/A,#N/A,FALSE,"Oper. Exp. Accrual";#N/A,#N/A,FALSE,"OMP Payroll #1";#N/A,#N/A,FALSE,"OMP Payroll #2";#N/A,#N/A,FALSE,"Inwood Payroll"}</definedName>
    <definedName name="wrn.Journal._.Entry." hidden="1">{#N/A,#N/A,FALSE,"Journal Entry";#N/A,#N/A,FALSE,"Recov. Capital";#N/A,#N/A,FALSE,"Insurance &amp; Tax Accrual";#N/A,#N/A,FALSE,"Utility - HVAC Reimb.";#N/A,#N/A,FALSE,"Ernst &amp; Young Amort. - 2663";#N/A,#N/A,FALSE,"Account 2663";#N/A,#N/A,FALSE,"Oper. Exp. Accrual";#N/A,#N/A,FALSE,"OMP Payroll #1";#N/A,#N/A,FALSE,"OMP Payroll #2"}</definedName>
    <definedName name="wrn.surveillance." localSheetId="0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6" i="34" l="1"/>
  <c r="F535" i="34"/>
  <c r="F534" i="34"/>
  <c r="F533" i="34"/>
  <c r="E530" i="34" a="1"/>
  <c r="E530" i="34" s="1"/>
  <c r="E517" i="34"/>
  <c r="E516" i="34"/>
  <c r="E515" i="34"/>
  <c r="E514" i="34"/>
  <c r="E513" i="34"/>
  <c r="E512" i="34"/>
  <c r="E511" i="34"/>
  <c r="E510" i="34"/>
  <c r="E509" i="34"/>
  <c r="E508" i="34"/>
  <c r="E507" i="34"/>
  <c r="E506" i="34"/>
  <c r="E505" i="34"/>
  <c r="E504" i="34"/>
  <c r="E503" i="34"/>
  <c r="E502" i="34"/>
  <c r="E501" i="34"/>
  <c r="E500" i="34"/>
  <c r="E499" i="34"/>
  <c r="E498" i="34"/>
  <c r="E497" i="34"/>
  <c r="E496" i="34"/>
  <c r="E495" i="34"/>
  <c r="E494" i="34"/>
  <c r="E493" i="34"/>
  <c r="E492" i="34"/>
  <c r="E491" i="34"/>
  <c r="E490" i="34"/>
  <c r="E489" i="34"/>
  <c r="E488" i="34"/>
  <c r="E487" i="34"/>
  <c r="E486" i="34"/>
  <c r="E485" i="34"/>
  <c r="E484" i="34"/>
  <c r="E483" i="34"/>
  <c r="E482" i="34"/>
  <c r="E481" i="34"/>
  <c r="E480" i="34"/>
  <c r="E479" i="34"/>
  <c r="E478" i="34"/>
  <c r="E477" i="34"/>
  <c r="E476" i="34"/>
  <c r="E475" i="34"/>
  <c r="E474" i="34"/>
  <c r="E473" i="34"/>
  <c r="E472" i="34"/>
  <c r="E471" i="34"/>
  <c r="E470" i="34"/>
  <c r="E469" i="34"/>
  <c r="E468" i="34"/>
  <c r="E467" i="34"/>
  <c r="E466" i="34"/>
  <c r="E465" i="34"/>
  <c r="E464" i="34"/>
  <c r="E463" i="34"/>
  <c r="E462" i="34"/>
  <c r="E461" i="34"/>
  <c r="E460" i="34"/>
  <c r="E459" i="34"/>
  <c r="E458" i="34"/>
  <c r="E457" i="34"/>
  <c r="E456" i="34"/>
  <c r="E455" i="34"/>
  <c r="E454" i="34"/>
  <c r="E453" i="34"/>
  <c r="E452" i="34"/>
  <c r="E451" i="34"/>
  <c r="E450" i="34"/>
  <c r="E449" i="34"/>
  <c r="E448" i="34"/>
  <c r="E447" i="34"/>
  <c r="E446" i="34"/>
  <c r="E445" i="34"/>
  <c r="E444" i="34"/>
  <c r="E443" i="34"/>
  <c r="E442" i="34"/>
  <c r="E441" i="34"/>
  <c r="E440" i="34"/>
  <c r="E439" i="34"/>
  <c r="E438" i="34"/>
  <c r="E437" i="34"/>
  <c r="E436" i="34"/>
  <c r="E435" i="34"/>
  <c r="E434" i="34"/>
  <c r="E433" i="34"/>
  <c r="E432" i="34"/>
  <c r="E431" i="34"/>
  <c r="E430" i="34"/>
  <c r="E429" i="34"/>
  <c r="E428" i="34"/>
  <c r="E427" i="34"/>
  <c r="E426" i="34"/>
  <c r="E425" i="34"/>
  <c r="E424" i="34"/>
  <c r="E423" i="34"/>
  <c r="E422" i="34"/>
  <c r="E421" i="34"/>
  <c r="E420" i="34"/>
  <c r="E419" i="34"/>
  <c r="E418" i="34"/>
  <c r="E417" i="34"/>
  <c r="E416" i="34"/>
  <c r="E415" i="34"/>
  <c r="E414" i="34"/>
  <c r="E413" i="34"/>
  <c r="E412" i="34"/>
  <c r="E411" i="34"/>
  <c r="E410" i="34"/>
  <c r="E409" i="34"/>
  <c r="E408" i="34"/>
  <c r="E407" i="34"/>
  <c r="E406" i="34"/>
  <c r="E405" i="34"/>
  <c r="E404" i="34"/>
  <c r="E403" i="34"/>
  <c r="E402" i="34"/>
  <c r="E401" i="34"/>
  <c r="E400" i="34"/>
  <c r="E399" i="34"/>
  <c r="E398" i="34"/>
  <c r="E397" i="34"/>
  <c r="E396" i="34"/>
  <c r="E395" i="34"/>
  <c r="E394" i="34"/>
  <c r="E393" i="34"/>
  <c r="E392" i="34"/>
  <c r="E391" i="34"/>
  <c r="E390" i="34"/>
  <c r="E389" i="34"/>
  <c r="E388" i="34"/>
  <c r="E387" i="34"/>
  <c r="E386" i="34"/>
  <c r="E385" i="34"/>
  <c r="E384" i="34"/>
  <c r="E383" i="34"/>
  <c r="E382" i="34"/>
  <c r="E381" i="34"/>
  <c r="E380" i="34"/>
  <c r="E379" i="34"/>
  <c r="E378" i="34"/>
  <c r="E377" i="34"/>
  <c r="E376" i="34"/>
  <c r="E375" i="34"/>
  <c r="E374" i="34"/>
  <c r="E373" i="34"/>
  <c r="E372" i="34"/>
  <c r="E371" i="34"/>
  <c r="E370" i="34"/>
  <c r="E369" i="34"/>
  <c r="E368" i="34"/>
  <c r="E367" i="34"/>
  <c r="E366" i="34"/>
  <c r="E365" i="34"/>
  <c r="E364" i="34"/>
  <c r="E363" i="34"/>
  <c r="E362" i="34"/>
  <c r="E361" i="34"/>
  <c r="E360" i="34"/>
  <c r="E359" i="34"/>
  <c r="E358" i="34"/>
  <c r="E357" i="34"/>
  <c r="E356" i="34"/>
  <c r="E355" i="34"/>
  <c r="E354" i="34"/>
  <c r="E353" i="34"/>
  <c r="E352" i="34"/>
  <c r="E351" i="34"/>
  <c r="E350" i="34"/>
  <c r="E349" i="34"/>
  <c r="E348" i="34"/>
  <c r="E347" i="34"/>
  <c r="E346" i="34"/>
  <c r="E345" i="34"/>
  <c r="E344" i="34"/>
  <c r="E343" i="34"/>
  <c r="E342" i="34"/>
  <c r="E341" i="34"/>
  <c r="E340" i="34"/>
  <c r="E339" i="34"/>
  <c r="E338" i="34"/>
  <c r="E337" i="34"/>
  <c r="E336" i="34"/>
  <c r="E335" i="34"/>
  <c r="E334" i="34"/>
  <c r="E333" i="34"/>
  <c r="E332" i="34"/>
  <c r="E331" i="34"/>
  <c r="E330" i="34"/>
  <c r="E329" i="34"/>
  <c r="E328" i="34"/>
  <c r="E327" i="34"/>
  <c r="E326" i="34"/>
  <c r="E325" i="34"/>
  <c r="E324" i="34"/>
  <c r="E323" i="34"/>
  <c r="E322" i="34"/>
  <c r="E321" i="34"/>
  <c r="E320" i="34"/>
  <c r="E319" i="34"/>
  <c r="E318" i="34"/>
  <c r="E317" i="34"/>
  <c r="E316" i="34"/>
  <c r="E315" i="34"/>
  <c r="E314" i="34"/>
  <c r="E313" i="34"/>
  <c r="E312" i="34"/>
  <c r="E311" i="34"/>
  <c r="E310" i="34"/>
  <c r="E309" i="34"/>
  <c r="E308" i="34"/>
  <c r="E307" i="34"/>
  <c r="E306" i="34"/>
  <c r="E305" i="34"/>
  <c r="E304" i="34"/>
  <c r="E303" i="34"/>
  <c r="E302" i="34"/>
  <c r="E301" i="34"/>
  <c r="E300" i="34"/>
  <c r="E299" i="34"/>
  <c r="E298" i="34"/>
  <c r="E297" i="34"/>
  <c r="E296" i="34"/>
  <c r="E295" i="34"/>
  <c r="E294" i="34"/>
  <c r="E293" i="34"/>
  <c r="E292" i="34"/>
  <c r="E291" i="34"/>
  <c r="E290" i="34"/>
  <c r="E289" i="34"/>
  <c r="E288" i="34"/>
  <c r="E287" i="34"/>
  <c r="E286" i="34"/>
  <c r="E285" i="34"/>
  <c r="E284" i="34"/>
  <c r="E283" i="34"/>
  <c r="E282" i="34"/>
  <c r="E281" i="34"/>
  <c r="E280" i="34"/>
  <c r="E279" i="34"/>
  <c r="E278" i="34"/>
  <c r="E277" i="34"/>
  <c r="E276" i="34"/>
  <c r="E275" i="34"/>
  <c r="E274" i="34"/>
  <c r="E273" i="34"/>
  <c r="E272" i="34"/>
  <c r="E271" i="34"/>
  <c r="E270" i="34"/>
  <c r="E269" i="34"/>
  <c r="E268" i="34"/>
  <c r="E267" i="34"/>
  <c r="E266" i="34"/>
  <c r="E265" i="34"/>
  <c r="E264" i="34"/>
  <c r="E263" i="34"/>
  <c r="E262" i="34"/>
  <c r="E261" i="34"/>
  <c r="E260" i="34"/>
  <c r="E259" i="34"/>
  <c r="E258" i="34"/>
  <c r="E257" i="34"/>
  <c r="E256" i="34"/>
  <c r="E255" i="34"/>
  <c r="E254" i="34"/>
  <c r="E253" i="34"/>
  <c r="E252" i="34"/>
  <c r="E251" i="34"/>
  <c r="E250" i="34"/>
  <c r="E249" i="34"/>
  <c r="E248" i="34"/>
  <c r="E247" i="34"/>
  <c r="E246" i="34"/>
  <c r="E245" i="34"/>
  <c r="E244" i="34"/>
  <c r="E243" i="34"/>
  <c r="E242" i="34"/>
  <c r="E241" i="34"/>
  <c r="E240" i="34"/>
  <c r="E239" i="34"/>
  <c r="E238" i="34"/>
  <c r="E237" i="34"/>
  <c r="E236" i="34"/>
  <c r="E235" i="34"/>
  <c r="E234" i="34"/>
  <c r="E233" i="34"/>
  <c r="E232" i="34"/>
  <c r="E231" i="34"/>
  <c r="E230" i="34"/>
  <c r="E229" i="34"/>
  <c r="E228" i="34"/>
  <c r="E227" i="34"/>
  <c r="E226" i="34"/>
  <c r="E225" i="34"/>
  <c r="E224" i="34"/>
  <c r="E223" i="34"/>
  <c r="E222" i="34"/>
  <c r="E221" i="34"/>
  <c r="E220" i="34"/>
  <c r="E219" i="34"/>
  <c r="E218" i="34"/>
  <c r="E217" i="34"/>
  <c r="E216" i="34"/>
  <c r="E215" i="34"/>
  <c r="E214" i="34"/>
  <c r="E213" i="34"/>
  <c r="E212" i="34"/>
  <c r="E211" i="34"/>
  <c r="E210" i="34"/>
  <c r="E209" i="34"/>
  <c r="E208" i="34"/>
  <c r="E207" i="34"/>
  <c r="E206" i="34"/>
  <c r="E205" i="34"/>
  <c r="E204" i="34"/>
  <c r="E203" i="34"/>
  <c r="E202" i="34"/>
  <c r="E201" i="34"/>
  <c r="E200" i="34"/>
  <c r="E199" i="34"/>
  <c r="E198" i="34"/>
  <c r="E197" i="34"/>
  <c r="E196" i="34"/>
  <c r="E195" i="34"/>
  <c r="E194" i="34"/>
  <c r="E193" i="34"/>
  <c r="E192" i="34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E134" i="34"/>
  <c r="E133" i="34"/>
  <c r="E132" i="34"/>
  <c r="E131" i="34"/>
  <c r="E130" i="34"/>
  <c r="E129" i="34"/>
  <c r="E128" i="34"/>
  <c r="E127" i="34"/>
  <c r="E126" i="34"/>
  <c r="E125" i="34"/>
  <c r="E124" i="34"/>
  <c r="E123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E69" i="34"/>
  <c r="E68" i="34"/>
  <c r="E67" i="34"/>
  <c r="E66" i="34"/>
  <c r="E65" i="34"/>
  <c r="E64" i="34"/>
  <c r="E63" i="34"/>
  <c r="E62" i="34"/>
  <c r="E61" i="34"/>
  <c r="E60" i="34"/>
  <c r="E59" i="34"/>
  <c r="E58" i="34"/>
  <c r="E57" i="34"/>
  <c r="E56" i="34"/>
  <c r="E55" i="34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E40" i="34"/>
  <c r="E39" i="34"/>
  <c r="E38" i="34"/>
  <c r="E37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E23" i="34"/>
  <c r="E22" i="34"/>
  <c r="E21" i="34"/>
  <c r="E20" i="34"/>
  <c r="E19" i="34"/>
  <c r="E18" i="34"/>
  <c r="E17" i="34"/>
  <c r="E16" i="34"/>
  <c r="E15" i="34"/>
  <c r="E14" i="34"/>
  <c r="E13" i="34"/>
  <c r="E12" i="34"/>
  <c r="E11" i="34"/>
  <c r="E10" i="34"/>
  <c r="E9" i="34"/>
  <c r="E8" i="34"/>
  <c r="E7" i="34"/>
  <c r="I15" i="45" l="1"/>
  <c r="AA521" i="34"/>
  <c r="R532" i="34" l="1"/>
  <c r="R534" i="34" s="1"/>
  <c r="R53" i="35" l="1"/>
  <c r="R52" i="35"/>
  <c r="C7" i="39" l="1"/>
  <c r="I28" i="45" l="1"/>
  <c r="I27" i="45"/>
  <c r="AA10" i="38"/>
  <c r="AB10" i="38" s="1"/>
  <c r="AA9" i="38"/>
  <c r="AB9" i="38" s="1"/>
  <c r="AA8" i="38"/>
  <c r="T521" i="34"/>
  <c r="S521" i="34"/>
  <c r="K531" i="34" a="1"/>
  <c r="M538" i="34" s="1"/>
  <c r="Q47" i="35"/>
  <c r="S47" i="35" s="1"/>
  <c r="S48" i="35" s="1"/>
  <c r="Q43" i="35"/>
  <c r="S43" i="35" s="1"/>
  <c r="Q42" i="35"/>
  <c r="S42" i="35" s="1"/>
  <c r="Q41" i="35"/>
  <c r="R41" i="35" s="1"/>
  <c r="Q40" i="35"/>
  <c r="R40" i="35" s="1"/>
  <c r="Q39" i="35"/>
  <c r="S39" i="35" s="1"/>
  <c r="Q38" i="35"/>
  <c r="R38" i="35" s="1"/>
  <c r="Q37" i="35"/>
  <c r="R37" i="35" s="1"/>
  <c r="Q36" i="35"/>
  <c r="R36" i="35" s="1"/>
  <c r="Q35" i="35"/>
  <c r="R35" i="35" s="1"/>
  <c r="Q34" i="35"/>
  <c r="S34" i="35" s="1"/>
  <c r="Q33" i="35"/>
  <c r="S33" i="35" s="1"/>
  <c r="Q32" i="35"/>
  <c r="R32" i="35" s="1"/>
  <c r="Q31" i="35"/>
  <c r="S31" i="35" s="1"/>
  <c r="Q30" i="35"/>
  <c r="R30" i="35" s="1"/>
  <c r="Q29" i="35"/>
  <c r="R29" i="35" s="1"/>
  <c r="Q28" i="35"/>
  <c r="S28" i="35" s="1"/>
  <c r="Q27" i="35"/>
  <c r="R27" i="35" s="1"/>
  <c r="Q23" i="35"/>
  <c r="S23" i="35" s="1"/>
  <c r="Q22" i="35"/>
  <c r="S22" i="35" s="1"/>
  <c r="Q21" i="35"/>
  <c r="S21" i="35" s="1"/>
  <c r="Q20" i="35"/>
  <c r="S20" i="35" s="1"/>
  <c r="Q19" i="35"/>
  <c r="S19" i="35" s="1"/>
  <c r="Q18" i="35"/>
  <c r="S18" i="35" s="1"/>
  <c r="Q17" i="35"/>
  <c r="S17" i="35" s="1"/>
  <c r="M537" i="34" l="1"/>
  <c r="L539" i="34"/>
  <c r="L532" i="34"/>
  <c r="L538" i="34"/>
  <c r="L534" i="34"/>
  <c r="L537" i="34"/>
  <c r="L533" i="34"/>
  <c r="L536" i="34"/>
  <c r="L535" i="34"/>
  <c r="N537" i="34"/>
  <c r="N534" i="34"/>
  <c r="N539" i="34"/>
  <c r="N538" i="34"/>
  <c r="N536" i="34"/>
  <c r="N535" i="34"/>
  <c r="N532" i="34"/>
  <c r="N533" i="34"/>
  <c r="M532" i="34"/>
  <c r="M533" i="34"/>
  <c r="M534" i="34"/>
  <c r="M535" i="34"/>
  <c r="M536" i="34"/>
  <c r="M539" i="34"/>
  <c r="S38" i="35"/>
  <c r="S29" i="35"/>
  <c r="R17" i="35"/>
  <c r="S35" i="35"/>
  <c r="S27" i="35"/>
  <c r="R28" i="35"/>
  <c r="S36" i="35"/>
  <c r="Q48" i="35"/>
  <c r="K531" i="34"/>
  <c r="R47" i="35"/>
  <c r="R48" i="35" s="1"/>
  <c r="S37" i="35"/>
  <c r="S40" i="35"/>
  <c r="R33" i="35"/>
  <c r="R34" i="35"/>
  <c r="S41" i="35"/>
  <c r="S30" i="35"/>
  <c r="R39" i="35"/>
  <c r="S32" i="35"/>
  <c r="I29" i="45" s="1"/>
  <c r="N29" i="45" s="1"/>
  <c r="R42" i="35"/>
  <c r="R31" i="35"/>
  <c r="R43" i="35"/>
  <c r="R22" i="35"/>
  <c r="R20" i="35"/>
  <c r="R21" i="35"/>
  <c r="R19" i="35"/>
  <c r="R18" i="35"/>
  <c r="R23" i="35"/>
  <c r="M531" i="34" l="1"/>
  <c r="M540" i="34" s="1"/>
  <c r="M542" i="34" s="1"/>
  <c r="L531" i="34"/>
  <c r="L540" i="34" s="1"/>
  <c r="L543" i="34" s="1"/>
  <c r="I16" i="45" s="1"/>
  <c r="N531" i="34"/>
  <c r="N540" i="34" s="1"/>
  <c r="N542" i="34" s="1"/>
  <c r="P541" i="34" s="1"/>
  <c r="O29" i="45"/>
  <c r="L542" i="34"/>
  <c r="N543" i="34" l="1"/>
  <c r="M543" i="34"/>
  <c r="L25" i="45"/>
  <c r="M16" i="45"/>
  <c r="I53" i="45"/>
  <c r="E43" i="45"/>
  <c r="E38" i="45"/>
  <c r="E30" i="45"/>
  <c r="E32" i="45" s="1"/>
  <c r="I17" i="45"/>
  <c r="E16" i="45"/>
  <c r="W53" i="35"/>
  <c r="W52" i="35"/>
  <c r="W51" i="35"/>
  <c r="W46" i="35"/>
  <c r="W45" i="35"/>
  <c r="W38" i="35"/>
  <c r="H46" i="45" s="1"/>
  <c r="I46" i="45" s="1"/>
  <c r="W37" i="35"/>
  <c r="H45" i="45" s="1"/>
  <c r="I45" i="45" s="1"/>
  <c r="W36" i="35"/>
  <c r="H44" i="45" s="1"/>
  <c r="I44" i="45" s="1"/>
  <c r="W35" i="35"/>
  <c r="H43" i="45" s="1"/>
  <c r="I43" i="45" s="1"/>
  <c r="W34" i="35"/>
  <c r="H42" i="45" s="1"/>
  <c r="I42" i="45" s="1"/>
  <c r="W33" i="35"/>
  <c r="H41" i="45" s="1"/>
  <c r="I41" i="45" s="1"/>
  <c r="W32" i="35"/>
  <c r="H40" i="45" s="1"/>
  <c r="W31" i="35"/>
  <c r="H39" i="45" s="1"/>
  <c r="I39" i="45" s="1"/>
  <c r="W30" i="35"/>
  <c r="H38" i="45" s="1"/>
  <c r="I38" i="45" s="1"/>
  <c r="W29" i="35"/>
  <c r="W28" i="35"/>
  <c r="H36" i="45" s="1"/>
  <c r="I36" i="45" s="1"/>
  <c r="W27" i="35"/>
  <c r="W23" i="35"/>
  <c r="H30" i="45" s="1"/>
  <c r="W22" i="35"/>
  <c r="H29" i="45" s="1"/>
  <c r="W21" i="35"/>
  <c r="H28" i="45" s="1"/>
  <c r="W20" i="35"/>
  <c r="H27" i="45" s="1"/>
  <c r="W18" i="35"/>
  <c r="H25" i="45" s="1"/>
  <c r="W17" i="35"/>
  <c r="H24" i="45" s="1"/>
  <c r="E47" i="45" l="1"/>
  <c r="E51" i="45"/>
  <c r="E57" i="45" s="1"/>
  <c r="R535" i="34"/>
  <c r="N544" i="34"/>
  <c r="O41" i="45"/>
  <c r="N41" i="45"/>
  <c r="O39" i="45"/>
  <c r="N39" i="45"/>
  <c r="O38" i="45"/>
  <c r="N38" i="45"/>
  <c r="O36" i="45"/>
  <c r="N36" i="45"/>
  <c r="N42" i="45"/>
  <c r="O42" i="45"/>
  <c r="I37" i="45"/>
  <c r="H37" i="45"/>
  <c r="O43" i="45"/>
  <c r="N43" i="45"/>
  <c r="N44" i="45"/>
  <c r="O44" i="45"/>
  <c r="I55" i="45"/>
  <c r="L55" i="45" s="1"/>
  <c r="H53" i="45"/>
  <c r="H55" i="45" s="1"/>
  <c r="Q44" i="35"/>
  <c r="I23" i="45"/>
  <c r="H23" i="45" s="1"/>
  <c r="E49" i="45"/>
  <c r="W47" i="35"/>
  <c r="W39" i="35"/>
  <c r="Q24" i="35"/>
  <c r="W25" i="35"/>
  <c r="Q49" i="35" l="1"/>
  <c r="H32" i="45"/>
  <c r="U25" i="35"/>
  <c r="N37" i="45"/>
  <c r="O37" i="45"/>
  <c r="H47" i="45"/>
  <c r="H49" i="45" s="1"/>
  <c r="U39" i="35"/>
  <c r="R44" i="35"/>
  <c r="S44" i="35"/>
  <c r="R55" i="35" s="1"/>
  <c r="I30" i="45" s="1"/>
  <c r="R24" i="35"/>
  <c r="R49" i="35" s="1"/>
  <c r="W41" i="35"/>
  <c r="S24" i="35"/>
  <c r="S49" i="35" s="1"/>
  <c r="W43" i="35"/>
  <c r="O30" i="45" l="1"/>
  <c r="N30" i="45"/>
  <c r="W49" i="35"/>
  <c r="W55" i="35" s="1"/>
  <c r="H51" i="45"/>
  <c r="H57" i="45" s="1"/>
  <c r="H73" i="45" s="1"/>
  <c r="U43" i="35"/>
  <c r="J63" i="45"/>
  <c r="K55" i="45"/>
  <c r="J55" i="45"/>
  <c r="K53" i="45"/>
  <c r="J53" i="45"/>
  <c r="K51" i="45"/>
  <c r="J51" i="45"/>
  <c r="K49" i="45"/>
  <c r="J49" i="45"/>
  <c r="K47" i="45"/>
  <c r="J47" i="45"/>
  <c r="K46" i="45"/>
  <c r="J46" i="45"/>
  <c r="K45" i="45"/>
  <c r="J45" i="45"/>
  <c r="K44" i="45"/>
  <c r="J44" i="45"/>
  <c r="K43" i="45"/>
  <c r="J43" i="45"/>
  <c r="K42" i="45"/>
  <c r="J42" i="45"/>
  <c r="K41" i="45"/>
  <c r="J41" i="45"/>
  <c r="K40" i="45"/>
  <c r="J40" i="45"/>
  <c r="K39" i="45"/>
  <c r="J39" i="45"/>
  <c r="K38" i="45"/>
  <c r="J38" i="45"/>
  <c r="K37" i="45"/>
  <c r="J37" i="45"/>
  <c r="K36" i="45"/>
  <c r="J36" i="45"/>
  <c r="L35" i="45"/>
  <c r="J35" i="45"/>
  <c r="K32" i="45"/>
  <c r="J32" i="45"/>
  <c r="K30" i="45"/>
  <c r="J30" i="45"/>
  <c r="K29" i="45"/>
  <c r="J29" i="45"/>
  <c r="L28" i="45"/>
  <c r="K28" i="45"/>
  <c r="J28" i="45"/>
  <c r="L27" i="45"/>
  <c r="K27" i="45"/>
  <c r="J27" i="45"/>
  <c r="K25" i="45"/>
  <c r="J25" i="45"/>
  <c r="K24" i="45"/>
  <c r="J24" i="45"/>
  <c r="AK33" i="34"/>
  <c r="AK34" i="34" s="1"/>
  <c r="AL13" i="34"/>
  <c r="K57" i="45" l="1"/>
  <c r="J57" i="45"/>
  <c r="AB8" i="38"/>
  <c r="AA7" i="38"/>
  <c r="AB7" i="38" s="1"/>
  <c r="AA6" i="38"/>
  <c r="AB6" i="38" s="1"/>
  <c r="AA5" i="38"/>
  <c r="AB5" i="38" s="1"/>
  <c r="AA4" i="38"/>
  <c r="AB4" i="38" s="1"/>
  <c r="D9" i="44"/>
  <c r="O14" i="44"/>
  <c r="N14" i="44"/>
  <c r="M14" i="44"/>
  <c r="L14" i="44"/>
  <c r="K14" i="44"/>
  <c r="J14" i="44"/>
  <c r="I14" i="44"/>
  <c r="H14" i="44"/>
  <c r="G14" i="44"/>
  <c r="F14" i="44"/>
  <c r="E14" i="44"/>
  <c r="O19" i="44"/>
  <c r="N19" i="44"/>
  <c r="M19" i="44"/>
  <c r="L19" i="44"/>
  <c r="K19" i="44"/>
  <c r="J19" i="44"/>
  <c r="I19" i="44"/>
  <c r="H19" i="44"/>
  <c r="G19" i="44"/>
  <c r="F19" i="44"/>
  <c r="E19" i="44"/>
  <c r="D19" i="44"/>
  <c r="D14" i="44"/>
  <c r="D13" i="44"/>
  <c r="E13" i="44" s="1"/>
  <c r="F13" i="44" s="1"/>
  <c r="G13" i="44" s="1"/>
  <c r="H13" i="44" s="1"/>
  <c r="I13" i="44" s="1"/>
  <c r="J13" i="44" s="1"/>
  <c r="K13" i="44" s="1"/>
  <c r="L13" i="44" s="1"/>
  <c r="M13" i="44" s="1"/>
  <c r="N13" i="44" s="1"/>
  <c r="O13" i="44" s="1"/>
  <c r="D18" i="44"/>
  <c r="E18" i="44" s="1"/>
  <c r="F18" i="44" s="1"/>
  <c r="G18" i="44" s="1"/>
  <c r="H18" i="44" s="1"/>
  <c r="I18" i="44" s="1"/>
  <c r="J18" i="44" s="1"/>
  <c r="K18" i="44" s="1"/>
  <c r="L18" i="44" s="1"/>
  <c r="M18" i="44" s="1"/>
  <c r="N18" i="44" s="1"/>
  <c r="O18" i="44" s="1"/>
  <c r="E9" i="44"/>
  <c r="F9" i="44" s="1"/>
  <c r="G9" i="44" s="1"/>
  <c r="H9" i="44" s="1"/>
  <c r="I9" i="44" s="1"/>
  <c r="J9" i="44" s="1"/>
  <c r="K9" i="44" s="1"/>
  <c r="L9" i="44" s="1"/>
  <c r="M9" i="44" s="1"/>
  <c r="N9" i="44" s="1"/>
  <c r="O9" i="44" s="1"/>
  <c r="E10" i="44"/>
  <c r="F10" i="44" s="1"/>
  <c r="G10" i="44" s="1"/>
  <c r="H10" i="44" s="1"/>
  <c r="I10" i="44" s="1"/>
  <c r="J10" i="44" s="1"/>
  <c r="K10" i="44" s="1"/>
  <c r="L10" i="44" s="1"/>
  <c r="M10" i="44" s="1"/>
  <c r="N10" i="44" s="1"/>
  <c r="O10" i="44" s="1"/>
  <c r="C6" i="44"/>
  <c r="C5" i="44"/>
  <c r="D6" i="44" l="1"/>
  <c r="AL9" i="34" l="1"/>
  <c r="AK9" i="34"/>
  <c r="B3" i="40"/>
  <c r="AL16" i="34"/>
  <c r="AL15" i="34"/>
  <c r="AK26" i="34" l="1"/>
  <c r="AK27" i="34" l="1"/>
  <c r="AA3" i="38" l="1"/>
  <c r="AB3" i="38" s="1"/>
  <c r="AB1" i="38" s="1"/>
  <c r="R54" i="35" s="1"/>
  <c r="I24" i="45" s="1"/>
  <c r="O24" i="45" l="1"/>
  <c r="N24" i="45"/>
  <c r="M25" i="45"/>
  <c r="I25" i="45" s="1"/>
  <c r="I32" i="45" s="1"/>
  <c r="D5" i="41"/>
  <c r="O32" i="45" l="1"/>
  <c r="N32" i="45"/>
  <c r="I40" i="45"/>
  <c r="I47" i="45" s="1"/>
  <c r="L32" i="45"/>
  <c r="D11" i="41"/>
  <c r="D12" i="41" s="1"/>
  <c r="I49" i="45" l="1"/>
  <c r="O47" i="45"/>
  <c r="N47" i="45"/>
  <c r="N40" i="45"/>
  <c r="O40" i="45"/>
  <c r="I51" i="45"/>
  <c r="C5" i="39"/>
  <c r="D2" i="39"/>
  <c r="O51" i="45" l="1"/>
  <c r="N51" i="45"/>
  <c r="N49" i="45"/>
  <c r="O49" i="45"/>
  <c r="I57" i="45"/>
  <c r="L57" i="45" s="1"/>
  <c r="L51" i="45"/>
  <c r="I73" i="45"/>
  <c r="C9" i="39"/>
  <c r="C11" i="39"/>
  <c r="C10" i="39"/>
  <c r="AL18" i="34"/>
  <c r="I59" i="45" l="1"/>
  <c r="I65" i="45" s="1"/>
  <c r="H59" i="45"/>
  <c r="AL10" i="34"/>
  <c r="AL12" i="34" s="1"/>
  <c r="AK10" i="34"/>
  <c r="AK12" i="34" s="1"/>
  <c r="I69" i="45" l="1"/>
  <c r="I63" i="45"/>
  <c r="L63" i="45" s="1"/>
  <c r="H65" i="45"/>
  <c r="K65" i="45" s="1"/>
  <c r="H63" i="45"/>
  <c r="K63" i="45" s="1"/>
  <c r="H69" i="45"/>
  <c r="K69" i="45" s="1"/>
  <c r="AL14" i="34"/>
  <c r="AL17" i="34" s="1"/>
  <c r="G4" i="37" l="1"/>
  <c r="K4" i="37" s="1"/>
  <c r="I78" i="1" l="1"/>
  <c r="J78" i="1"/>
  <c r="D9" i="41" l="1"/>
  <c r="D13" i="41" s="1"/>
  <c r="C13" i="39"/>
  <c r="H4" i="37"/>
  <c r="L4" i="37" s="1"/>
  <c r="I4" i="37"/>
  <c r="M4" i="37" s="1"/>
  <c r="C14" i="39" l="1"/>
  <c r="D6" i="41"/>
  <c r="D7" i="41" s="1"/>
  <c r="J4" i="37"/>
  <c r="N4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Gray, Amanda</author>
    <author>Jacob Ballou</author>
    <author>Garrett Wilson</author>
  </authors>
  <commentList>
    <comment ref="F6" authorId="0" shapeId="0" xr:uid="{562D8FBD-186F-4BED-B201-5CE84686D8B9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should always be blank
</t>
        </r>
      </text>
    </comment>
    <comment ref="F7" authorId="0" shapeId="0" xr:uid="{6670B1CB-8588-4763-B7DE-9257C822CF76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should always be blank</t>
        </r>
      </text>
    </comment>
    <comment ref="F8" authorId="0" shapeId="0" xr:uid="{FAAF1479-8B89-402C-B0F2-B6E08A4A40A2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should always be blank</t>
        </r>
      </text>
    </comment>
    <comment ref="E30" authorId="1" shapeId="0" xr:uid="{B0F9CC5A-AF04-490F-9706-3BBFA448BF0B}">
      <text>
        <r>
          <rPr>
            <b/>
            <sz val="9"/>
            <color indexed="81"/>
            <rFont val="Tahoma"/>
            <family val="2"/>
          </rPr>
          <t>Jacob Ballou:</t>
        </r>
        <r>
          <rPr>
            <sz val="9"/>
            <color indexed="81"/>
            <rFont val="Tahoma"/>
            <family val="2"/>
          </rPr>
          <t xml:space="preserve">
Emp Expenses 10k
</t>
        </r>
      </text>
    </comment>
    <comment ref="I30" authorId="2" shapeId="0" xr:uid="{B592C53C-9FA2-4CA7-B96C-033C4BECF695}">
      <text>
        <r>
          <rPr>
            <b/>
            <sz val="9"/>
            <color indexed="81"/>
            <rFont val="Tahoma"/>
            <family val="2"/>
          </rPr>
          <t>Garrett Wilson:</t>
        </r>
        <r>
          <rPr>
            <sz val="9"/>
            <color indexed="81"/>
            <rFont val="Tahoma"/>
            <family val="2"/>
          </rPr>
          <t xml:space="preserve">
Used T3 special allowance vs T6</t>
        </r>
      </text>
    </comment>
    <comment ref="E38" authorId="1" shapeId="0" xr:uid="{F2B3FB6B-1C8D-4EC3-9E91-296F63C8DD71}">
      <text>
        <r>
          <rPr>
            <b/>
            <sz val="9"/>
            <color indexed="81"/>
            <rFont val="Tahoma"/>
            <family val="2"/>
          </rPr>
          <t>Jacob Ballou:</t>
        </r>
        <r>
          <rPr>
            <sz val="9"/>
            <color indexed="81"/>
            <rFont val="Tahoma"/>
            <family val="2"/>
          </rPr>
          <t xml:space="preserve">
Utilities + Trash</t>
        </r>
      </text>
    </comment>
    <comment ref="E43" authorId="1" shapeId="0" xr:uid="{37AF807C-3DD0-4684-87FB-254C7C70214C}">
      <text>
        <r>
          <rPr>
            <b/>
            <sz val="9"/>
            <color indexed="81"/>
            <rFont val="Tahoma"/>
            <family val="2"/>
          </rPr>
          <t>Jacob Ballou:</t>
        </r>
        <r>
          <rPr>
            <sz val="9"/>
            <color indexed="81"/>
            <rFont val="Tahoma"/>
            <family val="2"/>
          </rPr>
          <t xml:space="preserve">
Landscaping + Security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Gray, Amanda</author>
  </authors>
  <commentList>
    <comment ref="G6" authorId="0" shapeId="0" xr:uid="{665E29A2-51D3-4A46-BC07-A2FB3F439DA4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should always be blank
</t>
        </r>
      </text>
    </comment>
    <comment ref="G7" authorId="0" shapeId="0" xr:uid="{03B83138-C7B6-4FFD-88A9-1B6514BEEE16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should always be blank</t>
        </r>
      </text>
    </comment>
    <comment ref="C8" authorId="0" shapeId="0" xr:uid="{9DF4E56C-744F-4360-8F96-F3531D645314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will not be applicable</t>
        </r>
      </text>
    </comment>
    <comment ref="G8" authorId="0" shapeId="0" xr:uid="{4015454D-D44E-4209-B86A-1E84FFDC06AE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should always be blank</t>
        </r>
      </text>
    </comment>
    <comment ref="E23" authorId="0" shapeId="0" xr:uid="{2A1205AF-2DDF-48F6-B6CE-1836C03A3BC1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This will be in-place UW at close</t>
        </r>
      </text>
    </comment>
    <comment ref="F23" authorId="0" shapeId="0" xr:uid="{43241274-13C0-4457-830F-AEA7DD1BA470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Historicals provided at close</t>
        </r>
      </text>
    </comment>
    <comment ref="I23" authorId="0" shapeId="0" xr:uid="{EA1CE4FB-D9E7-40ED-93BD-E118660029BE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If we do not have T-12 then use T-6 or T-3 annualized and note what you are using in the header </t>
        </r>
      </text>
    </comment>
    <comment ref="J23" authorId="0" shapeId="0" xr:uid="{CAAA8F1D-0EDA-4569-82A7-A818449DD6AC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Per the NOI definition in the loans to be snipped and pasted on this sheet for reference </t>
        </r>
      </text>
    </comment>
    <comment ref="K23" authorId="0" shapeId="0" xr:uid="{6D686645-FE40-4B3B-90F5-F381705553D9}">
      <text>
        <r>
          <rPr>
            <b/>
            <sz val="9"/>
            <color indexed="81"/>
            <rFont val="Tahoma"/>
            <family val="2"/>
          </rPr>
          <t>Gray, Amanda:</t>
        </r>
        <r>
          <rPr>
            <sz val="9"/>
            <color indexed="81"/>
            <rFont val="Tahoma"/>
            <family val="2"/>
          </rPr>
          <t xml:space="preserve">
If any assumptions are different from the NOI definition for any reason please note them here.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Ballou</author>
  </authors>
  <commentList>
    <comment ref="P4" authorId="0" shapeId="0" xr:uid="{0204ADFA-D432-42D0-825C-26473580C01B}">
      <text>
        <r>
          <rPr>
            <b/>
            <sz val="9"/>
            <color indexed="81"/>
            <rFont val="Tahoma"/>
            <family val="2"/>
          </rPr>
          <t>Jacob Ballou:</t>
        </r>
        <r>
          <rPr>
            <sz val="9"/>
            <color indexed="81"/>
            <rFont val="Tahoma"/>
            <family val="2"/>
          </rPr>
          <t xml:space="preserve">
7.00% / 1.00x after June 2027
7.25% after June 2028
7.75% / 1.10x after June 2029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Ballou</author>
  </authors>
  <commentList>
    <comment ref="B4" authorId="0" shapeId="0" xr:uid="{63C2DECC-0201-4372-9D4A-818EC9FF5FB5}">
      <text>
        <r>
          <rPr>
            <b/>
            <sz val="9"/>
            <color indexed="81"/>
            <rFont val="Tahoma"/>
            <family val="2"/>
          </rPr>
          <t>Jacob Ballou:</t>
        </r>
        <r>
          <rPr>
            <sz val="9"/>
            <color indexed="81"/>
            <rFont val="Tahoma"/>
            <family val="2"/>
          </rPr>
          <t xml:space="preserve">
Primarily Quartz I Belive
</t>
        </r>
      </text>
    </comment>
    <comment ref="C7" authorId="0" shapeId="0" xr:uid="{F0342273-572F-4237-8475-8C2B80132656}">
      <text>
        <r>
          <rPr>
            <b/>
            <sz val="9"/>
            <color indexed="81"/>
            <rFont val="Tahoma"/>
            <family val="2"/>
          </rPr>
          <t>Jacob Ballou:</t>
        </r>
        <r>
          <rPr>
            <sz val="9"/>
            <color indexed="81"/>
            <rFont val="Tahoma"/>
            <family val="2"/>
          </rPr>
          <t xml:space="preserve">
Renovation start per PIC pg. 26</t>
        </r>
      </text>
    </comment>
    <comment ref="B9" authorId="0" shapeId="0" xr:uid="{106E709F-0F53-4C07-9721-8275282F1D2F}">
      <text>
        <r>
          <rPr>
            <b/>
            <sz val="9"/>
            <color indexed="81"/>
            <rFont val="Tahoma"/>
            <family val="2"/>
          </rPr>
          <t>Jacob Ballou:</t>
        </r>
        <r>
          <rPr>
            <sz val="9"/>
            <color indexed="81"/>
            <rFont val="Tahoma"/>
            <family val="2"/>
          </rPr>
          <t xml:space="preserve">
Pg. 26
PIC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<sst xmlns="http://schemas.openxmlformats.org/spreadsheetml/2006/main" count="5768" uniqueCount="2261">
  <si>
    <t>CREFC Investor Reporting Package</t>
  </si>
  <si>
    <r>
      <t>COMMERCIAL OPERATING STATEMENT ANALYSIS REPORT</t>
    </r>
    <r>
      <rPr>
        <i/>
        <sz val="12"/>
        <rFont val="Arial"/>
        <family val="2"/>
      </rPr>
      <t xml:space="preserve"> (includes Retail/Office/Industrial/Mixed Use/Self Storage)</t>
    </r>
  </si>
  <si>
    <t>as of MM/DD/YY</t>
  </si>
  <si>
    <t xml:space="preserve"> PROPERTY OVERVIEW</t>
  </si>
  <si>
    <t>Allocated Loan Amount/Percentage</t>
  </si>
  <si>
    <t>Property ID</t>
  </si>
  <si>
    <t>1001-001</t>
  </si>
  <si>
    <t>Paid Thru Date</t>
  </si>
  <si>
    <t>Debt Outside Trust (1)</t>
  </si>
  <si>
    <t>$</t>
  </si>
  <si>
    <t>%</t>
  </si>
  <si>
    <t xml:space="preserve">      Note A-Scheduled Loan Balance</t>
  </si>
  <si>
    <t>MM/DD/YY</t>
  </si>
  <si>
    <t>X or Blank</t>
  </si>
  <si>
    <t xml:space="preserve">      Note B-Scheduled Loan Balance</t>
  </si>
  <si>
    <t xml:space="preserve">      Note C-Scheduled Loan Balance</t>
  </si>
  <si>
    <t xml:space="preserve">      Property Name</t>
  </si>
  <si>
    <t xml:space="preserve">      Property Type</t>
  </si>
  <si>
    <t xml:space="preserve">      Property Address, City, State</t>
  </si>
  <si>
    <t xml:space="preserve">      Current Net Rentable SF/Units/Beds/Rooms</t>
  </si>
  <si>
    <t>Use second box to specify sqft.,units…</t>
  </si>
  <si>
    <t xml:space="preserve">      Year Built/Year Renovated</t>
  </si>
  <si>
    <t>YYYY</t>
  </si>
  <si>
    <t xml:space="preserve">      Cap Ex Reserve (annually)/per Unit.etc. (2)</t>
  </si>
  <si>
    <t>specify annual/per unit…</t>
  </si>
  <si>
    <t xml:space="preserve">      Statement Ending Date</t>
  </si>
  <si>
    <t>Underwriting</t>
  </si>
  <si>
    <t xml:space="preserve">      Occupancy Rate (physical)</t>
  </si>
  <si>
    <t xml:space="preserve">      Occupancy Date</t>
  </si>
  <si>
    <t>(1) "X" if debt is outside of the trust, otherwise leave blank</t>
  </si>
  <si>
    <t>(2) Total $ amount of Capital Reserves required annually by loan documents</t>
  </si>
  <si>
    <t xml:space="preserve">  INCOME:</t>
  </si>
  <si>
    <t xml:space="preserve">      Number of Mos. Covered</t>
  </si>
  <si>
    <t xml:space="preserve">      Period Ended</t>
  </si>
  <si>
    <t>At Contribution</t>
  </si>
  <si>
    <t xml:space="preserve">3rd Preceding </t>
  </si>
  <si>
    <t>2nd  Preceding</t>
  </si>
  <si>
    <t>Preceding Yr.</t>
  </si>
  <si>
    <t>TTM/YTD</t>
  </si>
  <si>
    <t>Information</t>
  </si>
  <si>
    <t>(fm NOI Adj Sheet)</t>
  </si>
  <si>
    <t xml:space="preserve">      Gross Potential Rent (3)</t>
  </si>
  <si>
    <t xml:space="preserve">         Less: Vacancy Loss</t>
  </si>
  <si>
    <t>OR</t>
  </si>
  <si>
    <r>
      <t xml:space="preserve">      Base Rent</t>
    </r>
    <r>
      <rPr>
        <sz val="8"/>
        <rFont val="Arial"/>
        <family val="2"/>
      </rPr>
      <t xml:space="preserve"> (3)</t>
    </r>
  </si>
  <si>
    <t xml:space="preserve">      Expense Reimbursement</t>
  </si>
  <si>
    <t xml:space="preserve">      Percentage Rent</t>
  </si>
  <si>
    <t xml:space="preserve">      Parking Income</t>
  </si>
  <si>
    <t xml:space="preserve">      Other Income</t>
  </si>
  <si>
    <t xml:space="preserve">  *Effective Gross Income</t>
  </si>
  <si>
    <t>(3) Use either Gross Potential (with Vacancy Loss) or Base Rents; use negative $amt for Vacancy Loss</t>
  </si>
  <si>
    <t xml:space="preserve">  OPERATING EXPENSES:</t>
  </si>
  <si>
    <t xml:space="preserve">      Real Estate Taxes</t>
  </si>
  <si>
    <t xml:space="preserve">      Property Insurance</t>
  </si>
  <si>
    <t xml:space="preserve">      Utilities </t>
  </si>
  <si>
    <t xml:space="preserve">      Repairs and Maintenance</t>
  </si>
  <si>
    <t xml:space="preserve">      Janitorial</t>
  </si>
  <si>
    <t xml:space="preserve">      Management Fees</t>
  </si>
  <si>
    <t xml:space="preserve">      Payroll &amp; Benefits </t>
  </si>
  <si>
    <t xml:space="preserve">      Advertising &amp; Marketing</t>
  </si>
  <si>
    <t xml:space="preserve">      Professional Fees</t>
  </si>
  <si>
    <t xml:space="preserve">      General and Administrative</t>
  </si>
  <si>
    <t xml:space="preserve">      Other Expenses</t>
  </si>
  <si>
    <t xml:space="preserve">      Ground Rent</t>
  </si>
  <si>
    <t xml:space="preserve"> *Total Operating Expenses</t>
  </si>
  <si>
    <t xml:space="preserve">  Operating Expense Ratio</t>
  </si>
  <si>
    <t xml:space="preserve"> *Net Operating Income</t>
  </si>
  <si>
    <t xml:space="preserve">      Leasing Commissions </t>
  </si>
  <si>
    <t xml:space="preserve">      Tenant Improvements </t>
  </si>
  <si>
    <t xml:space="preserve">      Capital Expenditures</t>
  </si>
  <si>
    <t xml:space="preserve">      Extraordinary Capital Expenditures</t>
  </si>
  <si>
    <t xml:space="preserve">  Total Capital Items</t>
  </si>
  <si>
    <t xml:space="preserve"> *Net Cash Flow</t>
  </si>
  <si>
    <t xml:space="preserve">  Debt Service - A Note</t>
  </si>
  <si>
    <t xml:space="preserve">  Debt Service - B Note</t>
  </si>
  <si>
    <t xml:space="preserve">  Debt Service - C Note</t>
  </si>
  <si>
    <t xml:space="preserve"> *Net Cash Flow after Debt Service</t>
  </si>
  <si>
    <t xml:space="preserve"> *DSCR: (NOI/Debt Service) - A Note</t>
  </si>
  <si>
    <t xml:space="preserve"> *DSCR: (NOI/Debt Service) - A &amp; B Note</t>
  </si>
  <si>
    <t xml:space="preserve"> *DSCR: (NOI/Debt Service) - A, B &amp; C Note</t>
  </si>
  <si>
    <t xml:space="preserve"> *DSCR: (NCF/Debt Service) - A Note</t>
  </si>
  <si>
    <t xml:space="preserve"> *DSCR: (NCF/Debt Service) - A &amp; B Note</t>
  </si>
  <si>
    <t xml:space="preserve"> *DSCR: (NCF/Debt Service) - A, B &amp; C Note</t>
  </si>
  <si>
    <t xml:space="preserve">  Source of Financial Data:</t>
  </si>
  <si>
    <t>(ie. operating statements, financial statements, tax return, other)</t>
  </si>
  <si>
    <r>
      <t xml:space="preserve">Notes and  Assumptions: </t>
    </r>
    <r>
      <rPr>
        <i/>
        <sz val="9"/>
        <rFont val="Arial"/>
        <family val="2"/>
      </rPr>
      <t xml:space="preserve">Years above will roll, always showing a 3yr sequential history.  Comments from the most recent NOI Adjustment Worksheet should be carried forward to Operating Statement </t>
    </r>
  </si>
  <si>
    <t xml:space="preserve">* Used in the CREFC Comparative Financial Status Report/CREFC Property File/CREFC Loan Periodic Update File. Note that information for multiple property loans must be consolidated (if available) </t>
  </si>
  <si>
    <t>for reporting to the CREFC Loan Periodic Update file.</t>
  </si>
  <si>
    <t>as of   /  /</t>
  </si>
  <si>
    <r>
      <t>MULTIFAMILY OPERATING STATEMENT ANALYSIS REPORT</t>
    </r>
    <r>
      <rPr>
        <b/>
        <i/>
        <sz val="12"/>
        <rFont val="Arial"/>
        <family val="2"/>
      </rPr>
      <t xml:space="preserve"> </t>
    </r>
    <r>
      <rPr>
        <i/>
        <sz val="12"/>
        <rFont val="Arial"/>
        <family val="2"/>
      </rPr>
      <t>(includes Mobile Home Parks, Single Family Rentals, and Co-ops)</t>
    </r>
  </si>
  <si>
    <t xml:space="preserve">DY Test </t>
  </si>
  <si>
    <t>Notes</t>
  </si>
  <si>
    <t>MF</t>
  </si>
  <si>
    <t>*Debt Yield (NOI/Debt Balance)</t>
  </si>
  <si>
    <t>Unit</t>
  </si>
  <si>
    <t>Name</t>
  </si>
  <si>
    <t>Balance</t>
  </si>
  <si>
    <t>Occupied</t>
  </si>
  <si>
    <t>0.00</t>
  </si>
  <si>
    <t>100.00</t>
  </si>
  <si>
    <t>2</t>
  </si>
  <si>
    <t>Vacant</t>
  </si>
  <si>
    <t>6</t>
  </si>
  <si>
    <t>Reporting Book:</t>
  </si>
  <si>
    <t>As of Date:</t>
  </si>
  <si>
    <t xml:space="preserve"> </t>
  </si>
  <si>
    <t>Month Ending</t>
  </si>
  <si>
    <t xml:space="preserve">  </t>
  </si>
  <si>
    <t xml:space="preserve">    </t>
  </si>
  <si>
    <t xml:space="preserve">  NET OPERATING INCOME</t>
  </si>
  <si>
    <t>Knightvest Management LLC - Solano at Chapel Hill</t>
  </si>
  <si>
    <t>RENT ROLL DETAIL</t>
  </si>
  <si>
    <t>07/26/2022 09:07 AM</t>
  </si>
  <si>
    <t>As of Date: 06/30/2022</t>
  </si>
  <si>
    <t>Parameters: Properties: - all subproperties-; Show All Unit Designations or Filter by: ALL; Subjournals: ALL; Sort by: Unit; Report Type: Details + Summary; Exclude Formers?: Yes; Show Unit Rent as: Market Rent</t>
  </si>
  <si>
    <t>Resh ID</t>
  </si>
  <si>
    <t>Lease ID</t>
  </si>
  <si>
    <t>Floorplan</t>
  </si>
  <si>
    <t>SQFT</t>
  </si>
  <si>
    <t>Unit/Lease Status</t>
  </si>
  <si>
    <t>Move-In</t>
  </si>
  <si>
    <t>Move-Out</t>
  </si>
  <si>
    <t>Lease Start</t>
  </si>
  <si>
    <t>Lease End</t>
  </si>
  <si>
    <t>Dep On Hand</t>
  </si>
  <si>
    <t>B3</t>
  </si>
  <si>
    <t>N/A</t>
  </si>
  <si>
    <t>1,800.00</t>
  </si>
  <si>
    <t>1,699.00</t>
  </si>
  <si>
    <t>A1F</t>
  </si>
  <si>
    <t>713</t>
  </si>
  <si>
    <t>1,300.00</t>
  </si>
  <si>
    <t>75.00</t>
  </si>
  <si>
    <t>A1</t>
  </si>
  <si>
    <t>B3F</t>
  </si>
  <si>
    <t>B3Q</t>
  </si>
  <si>
    <t>1,950.00</t>
  </si>
  <si>
    <t>07/01/2022</t>
  </si>
  <si>
    <t>50.00</t>
  </si>
  <si>
    <t>A1Q</t>
  </si>
  <si>
    <t>Vacant-Leased</t>
  </si>
  <si>
    <t>1,425.00</t>
  </si>
  <si>
    <t>Occupied-NTV</t>
  </si>
  <si>
    <t>1,649.00</t>
  </si>
  <si>
    <t>C1F</t>
  </si>
  <si>
    <t>2,175.00</t>
  </si>
  <si>
    <t>C1</t>
  </si>
  <si>
    <t>B2Q</t>
  </si>
  <si>
    <t>1,850.00</t>
  </si>
  <si>
    <t>B2</t>
  </si>
  <si>
    <t>1,750.00</t>
  </si>
  <si>
    <t>C1Q</t>
  </si>
  <si>
    <t>2,375.00</t>
  </si>
  <si>
    <t>B2F</t>
  </si>
  <si>
    <t>43</t>
  </si>
  <si>
    <t>B5F</t>
  </si>
  <si>
    <t>2,050.00</t>
  </si>
  <si>
    <t>B5</t>
  </si>
  <si>
    <t>B1</t>
  </si>
  <si>
    <t>1,525.00</t>
  </si>
  <si>
    <t>B1Q</t>
  </si>
  <si>
    <t>1,650.00</t>
  </si>
  <si>
    <t>B5Q</t>
  </si>
  <si>
    <t>B1F</t>
  </si>
  <si>
    <t>A2F</t>
  </si>
  <si>
    <t>763</t>
  </si>
  <si>
    <t>A2</t>
  </si>
  <si>
    <t>A2Q</t>
  </si>
  <si>
    <t>1,450.00</t>
  </si>
  <si>
    <t>A3</t>
  </si>
  <si>
    <t>817</t>
  </si>
  <si>
    <t>A3F</t>
  </si>
  <si>
    <t>A4</t>
  </si>
  <si>
    <t>932</t>
  </si>
  <si>
    <t>1,475.00</t>
  </si>
  <si>
    <t>A4Q</t>
  </si>
  <si>
    <t>1,575.00</t>
  </si>
  <si>
    <t>A4F</t>
  </si>
  <si>
    <t>B4F</t>
  </si>
  <si>
    <t>B4Q</t>
  </si>
  <si>
    <t>A3Q</t>
  </si>
  <si>
    <t>1,550.00</t>
  </si>
  <si>
    <t>Amt / SQFT: Market = 266,365 SQFT; Leased = 235,641 SQFT;</t>
  </si>
  <si>
    <t># Units</t>
  </si>
  <si>
    <t>Average 
SQFT</t>
  </si>
  <si>
    <t>Average Market Rent</t>
  </si>
  <si>
    <t>Market Rent Amt/SQFT</t>
  </si>
  <si>
    <t>Average 
Leased</t>
  </si>
  <si>
    <t>Leased Amt/SQFT</t>
  </si>
  <si>
    <t>Units 
Occupied</t>
  </si>
  <si>
    <t>Occupancy %</t>
  </si>
  <si>
    <t>Units 
Available</t>
  </si>
  <si>
    <t>1.82</t>
  </si>
  <si>
    <t>1,296.33</t>
  </si>
  <si>
    <t>9</t>
  </si>
  <si>
    <t>0</t>
  </si>
  <si>
    <t>1,263.71</t>
  </si>
  <si>
    <t>1.77</t>
  </si>
  <si>
    <t>7</t>
  </si>
  <si>
    <t>77.78</t>
  </si>
  <si>
    <t>1</t>
  </si>
  <si>
    <t>2.00</t>
  </si>
  <si>
    <t>1,334.50</t>
  </si>
  <si>
    <t>1.87</t>
  </si>
  <si>
    <t>33.33</t>
  </si>
  <si>
    <t>1,350.73</t>
  </si>
  <si>
    <t>11</t>
  </si>
  <si>
    <t>1,414.80</t>
  </si>
  <si>
    <t>1.85</t>
  </si>
  <si>
    <t>5</t>
  </si>
  <si>
    <t>71.43</t>
  </si>
  <si>
    <t>1,468.50</t>
  </si>
  <si>
    <t>1.92</t>
  </si>
  <si>
    <t>4</t>
  </si>
  <si>
    <t>57.14</t>
  </si>
  <si>
    <t>3</t>
  </si>
  <si>
    <t>1,343.00</t>
  </si>
  <si>
    <t>1.64</t>
  </si>
  <si>
    <t>66.67</t>
  </si>
  <si>
    <t>1.90</t>
  </si>
  <si>
    <t>1.58</t>
  </si>
  <si>
    <t>1,353.71</t>
  </si>
  <si>
    <t>1.45</t>
  </si>
  <si>
    <t>14</t>
  </si>
  <si>
    <t>1,437.25</t>
  </si>
  <si>
    <t>1.54</t>
  </si>
  <si>
    <t>1.69</t>
  </si>
  <si>
    <t>1,496.17</t>
  </si>
  <si>
    <t>1.61</t>
  </si>
  <si>
    <t>1,045</t>
  </si>
  <si>
    <t>1.46</t>
  </si>
  <si>
    <t>1,472.40</t>
  </si>
  <si>
    <t>1.41</t>
  </si>
  <si>
    <t>1,504.18</t>
  </si>
  <si>
    <t>1.44</t>
  </si>
  <si>
    <t>64.71</t>
  </si>
  <si>
    <t>1,590.55</t>
  </si>
  <si>
    <t>1.52</t>
  </si>
  <si>
    <t>91.67</t>
  </si>
  <si>
    <t>1,245</t>
  </si>
  <si>
    <t>1.32</t>
  </si>
  <si>
    <t>1,704.50</t>
  </si>
  <si>
    <t>1.37</t>
  </si>
  <si>
    <t>1.49</t>
  </si>
  <si>
    <t>1,699.33</t>
  </si>
  <si>
    <t>1.36</t>
  </si>
  <si>
    <t>1,332</t>
  </si>
  <si>
    <t>1.35</t>
  </si>
  <si>
    <t>1,718.67</t>
  </si>
  <si>
    <t>1.29</t>
  </si>
  <si>
    <t>1,794.80</t>
  </si>
  <si>
    <t>83.33</t>
  </si>
  <si>
    <t>1,783.00</t>
  </si>
  <si>
    <t>1.34</t>
  </si>
  <si>
    <t>1,382</t>
  </si>
  <si>
    <t>1.23</t>
  </si>
  <si>
    <t>1,525</t>
  </si>
  <si>
    <t>1.28</t>
  </si>
  <si>
    <t>1,873.43</t>
  </si>
  <si>
    <t>2,005.00</t>
  </si>
  <si>
    <t>1.31</t>
  </si>
  <si>
    <t>2,036.80</t>
  </si>
  <si>
    <t>1,662</t>
  </si>
  <si>
    <t>2,093.33</t>
  </si>
  <si>
    <t>1.26</t>
  </si>
  <si>
    <t>12</t>
  </si>
  <si>
    <t>2,162.17</t>
  </si>
  <si>
    <t>1.30</t>
  </si>
  <si>
    <t>1.43</t>
  </si>
  <si>
    <t>2,230.75</t>
  </si>
  <si>
    <t>Totals / Averages:</t>
  </si>
  <si>
    <t>1,110</t>
  </si>
  <si>
    <t>1,661.15</t>
  </si>
  <si>
    <t>1.50</t>
  </si>
  <si>
    <t>1,602.98</t>
  </si>
  <si>
    <t>210</t>
  </si>
  <si>
    <t>87.50</t>
  </si>
  <si>
    <t>17</t>
  </si>
  <si>
    <t>Greater of actual fees and 3% of EGI</t>
  </si>
  <si>
    <t>A1G</t>
  </si>
  <si>
    <t>01/18/2021</t>
  </si>
  <si>
    <t>A2G</t>
  </si>
  <si>
    <t>09/15/2023</t>
  </si>
  <si>
    <t>04/30/2021</t>
  </si>
  <si>
    <t>ACCRUAL</t>
  </si>
  <si>
    <t>Spread</t>
  </si>
  <si>
    <t>09/11/2023</t>
  </si>
  <si>
    <t>03/07/2024</t>
  </si>
  <si>
    <t>02/16/2024</t>
  </si>
  <si>
    <t>T3A</t>
  </si>
  <si>
    <t>Leasing Agent</t>
  </si>
  <si>
    <t>Comment Date</t>
  </si>
  <si>
    <t>#NSF</t>
  </si>
  <si>
    <t>#Late</t>
  </si>
  <si>
    <t>Outstanding Deposit</t>
  </si>
  <si>
    <t>Deposits Held</t>
  </si>
  <si>
    <t>Prorate Credit</t>
  </si>
  <si>
    <t>90+ Days</t>
  </si>
  <si>
    <t>60 Days</t>
  </si>
  <si>
    <t>30 Days</t>
  </si>
  <si>
    <t>Current</t>
  </si>
  <si>
    <t>Net Balance</t>
  </si>
  <si>
    <t>O</t>
  </si>
  <si>
    <t>D</t>
  </si>
  <si>
    <t>Total Delinquent</t>
  </si>
  <si>
    <t>Total Prepaid</t>
  </si>
  <si>
    <t>Move-In/Out</t>
  </si>
  <si>
    <t>Status</t>
  </si>
  <si>
    <t>Email</t>
  </si>
  <si>
    <t>Phone Number</t>
  </si>
  <si>
    <t>Bldg/Unit</t>
  </si>
  <si>
    <t>05/23/2023</t>
  </si>
  <si>
    <t>01/29/2024</t>
  </si>
  <si>
    <t>05/01/2024</t>
  </si>
  <si>
    <t>QoQ ∆</t>
  </si>
  <si>
    <t>Cash Management</t>
  </si>
  <si>
    <t>Property</t>
  </si>
  <si>
    <t>Occupancy</t>
  </si>
  <si>
    <t>NOI</t>
  </si>
  <si>
    <t>DY</t>
  </si>
  <si>
    <t>DSCR</t>
  </si>
  <si>
    <t>In CM?</t>
  </si>
  <si>
    <t>Threshold</t>
  </si>
  <si>
    <t>Notes:</t>
  </si>
  <si>
    <t>NOI adjusted per the loan agreement.</t>
  </si>
  <si>
    <t>DSCR inclusive of benefit from in-the-money rate cap.</t>
  </si>
  <si>
    <t>Current resident</t>
  </si>
  <si>
    <t>Investment Year</t>
  </si>
  <si>
    <t>Year Ending</t>
  </si>
  <si>
    <t>Annual Base Rent</t>
  </si>
  <si>
    <t>Monthly Base Rent</t>
  </si>
  <si>
    <t>% Occ.</t>
  </si>
  <si>
    <t>Multiplier</t>
  </si>
  <si>
    <t>Average UW Rent</t>
  </si>
  <si>
    <t>09/27/2024</t>
  </si>
  <si>
    <t>08/26/2024</t>
  </si>
  <si>
    <t>03/01/2024</t>
  </si>
  <si>
    <t>08/16/2024</t>
  </si>
  <si>
    <t>09/13/2024</t>
  </si>
  <si>
    <t>Interest Rate Cap</t>
  </si>
  <si>
    <t>SOFR</t>
  </si>
  <si>
    <t>Effective Interest Rate</t>
  </si>
  <si>
    <t>Current Principal Balance</t>
  </si>
  <si>
    <t>Debt Service (w/o Cap)</t>
  </si>
  <si>
    <t>Debt Service (w/Cap)</t>
  </si>
  <si>
    <t>DSCR (w/o Cap)</t>
  </si>
  <si>
    <t>DSCR (w/Cap)</t>
  </si>
  <si>
    <t>In-Place Rent</t>
  </si>
  <si>
    <t>Market Rent</t>
  </si>
  <si>
    <t>10/10/2024</t>
  </si>
  <si>
    <t>12/27/2024</t>
  </si>
  <si>
    <t>10/03/2024</t>
  </si>
  <si>
    <t>11/03/2023</t>
  </si>
  <si>
    <t>01/03/2025</t>
  </si>
  <si>
    <t>02/03/2025</t>
  </si>
  <si>
    <t>12/17/2024</t>
  </si>
  <si>
    <t>10/04/2024</t>
  </si>
  <si>
    <t>02/13/2025</t>
  </si>
  <si>
    <t>Occupied-NTVL</t>
  </si>
  <si>
    <t>01/02/2025</t>
  </si>
  <si>
    <t>01/26/2024</t>
  </si>
  <si>
    <t>01/10/2025</t>
  </si>
  <si>
    <t>06/30/2025</t>
  </si>
  <si>
    <t>05/13/2025</t>
  </si>
  <si>
    <t>01/30/2025</t>
  </si>
  <si>
    <t>01/15/2025</t>
  </si>
  <si>
    <t>04/10/2025</t>
  </si>
  <si>
    <t>02/28/2025</t>
  </si>
  <si>
    <t>02/24/2025</t>
  </si>
  <si>
    <t>Target DY</t>
  </si>
  <si>
    <t>Current Principal</t>
  </si>
  <si>
    <t>Paydown</t>
  </si>
  <si>
    <t>Total Principal</t>
  </si>
  <si>
    <t>Current Net Cash Flow</t>
  </si>
  <si>
    <t>Needed Net Cash Flow</t>
  </si>
  <si>
    <t>NCF Change</t>
  </si>
  <si>
    <t>07/01/2024</t>
  </si>
  <si>
    <t>04/02/2025</t>
  </si>
  <si>
    <t>06/24/2025</t>
  </si>
  <si>
    <t>05/29/2025</t>
  </si>
  <si>
    <t>06/02/2025</t>
  </si>
  <si>
    <t>04/05/2024</t>
  </si>
  <si>
    <t>12/05/2024</t>
  </si>
  <si>
    <t>05/01/2025</t>
  </si>
  <si>
    <t>04/08/2025</t>
  </si>
  <si>
    <t>04/29/2025</t>
  </si>
  <si>
    <t>04/16/2025</t>
  </si>
  <si>
    <t>06/27/2024</t>
  </si>
  <si>
    <t>07/28/2025</t>
  </si>
  <si>
    <t>07/18/2025</t>
  </si>
  <si>
    <t>07/11/2025</t>
  </si>
  <si>
    <t>06/09/2025</t>
  </si>
  <si>
    <t>06/10/2025</t>
  </si>
  <si>
    <t>05/20/2025</t>
  </si>
  <si>
    <t>04/03/2025</t>
  </si>
  <si>
    <t>05/06/2025</t>
  </si>
  <si>
    <t>11/01/2024</t>
  </si>
  <si>
    <t>x</t>
  </si>
  <si>
    <t>09/18/2025</t>
  </si>
  <si>
    <t>08/22/2025</t>
  </si>
  <si>
    <t>08/25/2025</t>
  </si>
  <si>
    <t>07/29/2025</t>
  </si>
  <si>
    <t>09/29/2025</t>
  </si>
  <si>
    <t>05/07/2025</t>
  </si>
  <si>
    <t>09/07/2024</t>
  </si>
  <si>
    <t>07/25/2025</t>
  </si>
  <si>
    <t>10/27/2025</t>
  </si>
  <si>
    <t>08/29/2025</t>
  </si>
  <si>
    <t>08/14/2025</t>
  </si>
  <si>
    <t>07/01/2025</t>
  </si>
  <si>
    <t>06/19/2025</t>
  </si>
  <si>
    <t>10/15/2025</t>
  </si>
  <si>
    <t>09/26/2024</t>
  </si>
  <si>
    <t>09/25/2025</t>
  </si>
  <si>
    <t>09/15/2025</t>
  </si>
  <si>
    <t>09/03/2024</t>
  </si>
  <si>
    <t>05/30/2025</t>
  </si>
  <si>
    <t>08/15/2025</t>
  </si>
  <si>
    <t>12/02/2025</t>
  </si>
  <si>
    <t>08/19/2025</t>
  </si>
  <si>
    <t>09/21/2024</t>
  </si>
  <si>
    <t>08/11/2025</t>
  </si>
  <si>
    <t>08/28/2025</t>
  </si>
  <si>
    <t>12/16/2025</t>
  </si>
  <si>
    <t>08/01/2025</t>
  </si>
  <si>
    <t>08/04/2025</t>
  </si>
  <si>
    <t>09/17/2025</t>
  </si>
  <si>
    <t>10/08/2024</t>
  </si>
  <si>
    <t>07/13/2024</t>
  </si>
  <si>
    <t>07/15/2025</t>
  </si>
  <si>
    <t>07/08/2025</t>
  </si>
  <si>
    <t>09/05/2025</t>
  </si>
  <si>
    <t>11/30/2024</t>
  </si>
  <si>
    <t>01/29/2026</t>
  </si>
  <si>
    <t>10/12/2024</t>
  </si>
  <si>
    <t>10/13/2025</t>
  </si>
  <si>
    <t>10/02/2025</t>
  </si>
  <si>
    <t>11/16/2024</t>
  </si>
  <si>
    <t>11/14/2025</t>
  </si>
  <si>
    <t>10/18/2024</t>
  </si>
  <si>
    <t>11/26/2024</t>
  </si>
  <si>
    <t>11/25/2025</t>
  </si>
  <si>
    <t>12/03/2024</t>
  </si>
  <si>
    <t>03/02/2026</t>
  </si>
  <si>
    <t>12/14/2024</t>
  </si>
  <si>
    <t>08/08/2025</t>
  </si>
  <si>
    <t>11/02/2024</t>
  </si>
  <si>
    <t>11/03/2025</t>
  </si>
  <si>
    <t>11/04/2025</t>
  </si>
  <si>
    <t>10/01/2025</t>
  </si>
  <si>
    <t>11/13/2025</t>
  </si>
  <si>
    <t>10/25/2024</t>
  </si>
  <si>
    <t>10/06/2025</t>
  </si>
  <si>
    <t>03/16/2026</t>
  </si>
  <si>
    <t>10/14/2025</t>
  </si>
  <si>
    <t>11/11/2025</t>
  </si>
  <si>
    <t>11/23/2024</t>
  </si>
  <si>
    <t>01/22/2026</t>
  </si>
  <si>
    <t>11/27/2025</t>
  </si>
  <si>
    <t>12/07/2024</t>
  </si>
  <si>
    <t>12/03/2025</t>
  </si>
  <si>
    <t>12/26/2025</t>
  </si>
  <si>
    <t>01/21/2026</t>
  </si>
  <si>
    <t>Code Description</t>
  </si>
  <si>
    <t>RENT</t>
  </si>
  <si>
    <t>01/31/2025</t>
  </si>
  <si>
    <t>04/27/2026</t>
  </si>
  <si>
    <t>02/11/2025</t>
  </si>
  <si>
    <t>04/21/2026</t>
  </si>
  <si>
    <t>05/06/2026</t>
  </si>
  <si>
    <t>01/14/2026</t>
  </si>
  <si>
    <t>06/17/2025</t>
  </si>
  <si>
    <t>02/12/2026</t>
  </si>
  <si>
    <t>01/02/2026</t>
  </si>
  <si>
    <t>03/03/2026</t>
  </si>
  <si>
    <t>02/24/2026</t>
  </si>
  <si>
    <t>02/27/2026</t>
  </si>
  <si>
    <t>04/28/2026</t>
  </si>
  <si>
    <t>02/17/2026</t>
  </si>
  <si>
    <t>02/01/2025</t>
  </si>
  <si>
    <t>05/11/2026</t>
  </si>
  <si>
    <t>01/23/2026</t>
  </si>
  <si>
    <t>01/30/2026</t>
  </si>
  <si>
    <t>02/16/2026</t>
  </si>
  <si>
    <t>03/13/2026</t>
  </si>
  <si>
    <t>04/14/2026</t>
  </si>
  <si>
    <t>03/25/2025</t>
  </si>
  <si>
    <t>04/06/2026</t>
  </si>
  <si>
    <t>03/30/2026</t>
  </si>
  <si>
    <t>04/03/2026</t>
  </si>
  <si>
    <t>03/12/2026</t>
  </si>
  <si>
    <t>03/18/2026</t>
  </si>
  <si>
    <t>01/16/2026</t>
  </si>
  <si>
    <t>05/31/2025</t>
  </si>
  <si>
    <t>06/24/2026</t>
  </si>
  <si>
    <t>01/24/2025</t>
  </si>
  <si>
    <t>01/22/2025</t>
  </si>
  <si>
    <t>04/30/2025</t>
  </si>
  <si>
    <t>06/28/2025</t>
  </si>
  <si>
    <t>06/25/2025</t>
  </si>
  <si>
    <t>04/02/2026</t>
  </si>
  <si>
    <t>05/29/2026</t>
  </si>
  <si>
    <t>06/23/2026</t>
  </si>
  <si>
    <t>06/29/2026</t>
  </si>
  <si>
    <t>06/07/2025</t>
  </si>
  <si>
    <t>06/16/2026</t>
  </si>
  <si>
    <t>04/04/2025</t>
  </si>
  <si>
    <t>04/01/2026</t>
  </si>
  <si>
    <t>05/08/2026</t>
  </si>
  <si>
    <t>06/08/2026</t>
  </si>
  <si>
    <t>05/16/2025</t>
  </si>
  <si>
    <t>05/09/2025</t>
  </si>
  <si>
    <t>08/12/2025</t>
  </si>
  <si>
    <t>04/24/2026</t>
  </si>
  <si>
    <t>04/09/2025</t>
  </si>
  <si>
    <t>04/08/2026</t>
  </si>
  <si>
    <t>06/14/2025</t>
  </si>
  <si>
    <t>06/12/2026</t>
  </si>
  <si>
    <t>06/20/2025</t>
  </si>
  <si>
    <t>06/11/2026</t>
  </si>
  <si>
    <t>04/29/2026</t>
  </si>
  <si>
    <t>06/19/2026</t>
  </si>
  <si>
    <t>05/18/2026</t>
  </si>
  <si>
    <t>06/15/2026</t>
  </si>
  <si>
    <t>06/11/2025</t>
  </si>
  <si>
    <t>06/10/2026</t>
  </si>
  <si>
    <t>04/05/2025</t>
  </si>
  <si>
    <t>05/05/2026</t>
  </si>
  <si>
    <t>06/09/2026</t>
  </si>
  <si>
    <t>04/19/2025</t>
  </si>
  <si>
    <t>07/20/2026</t>
  </si>
  <si>
    <t>06/18/2026</t>
  </si>
  <si>
    <t>05/21/2026</t>
  </si>
  <si>
    <t>06/13/2025</t>
  </si>
  <si>
    <t>05/28/2026</t>
  </si>
  <si>
    <t>05/27/2025</t>
  </si>
  <si>
    <t>05/26/2026</t>
  </si>
  <si>
    <t>04/15/2026</t>
  </si>
  <si>
    <t>07/19/2025</t>
  </si>
  <si>
    <t>12/01/2025</t>
  </si>
  <si>
    <t>Quarterly</t>
  </si>
  <si>
    <t>Yearly</t>
  </si>
  <si>
    <t>Strada</t>
  </si>
  <si>
    <t>701 W Grove Pkwy, Tempe, AZ 85283</t>
  </si>
  <si>
    <t>$250 per unit per LA</t>
  </si>
  <si>
    <t>12 Month Income Statement</t>
  </si>
  <si>
    <t>Total</t>
  </si>
  <si>
    <t>Actual</t>
  </si>
  <si>
    <t xml:space="preserve">  INCOME</t>
  </si>
  <si>
    <t xml:space="preserve">    RENTAL REVENUE</t>
  </si>
  <si>
    <t xml:space="preserve">      4001.000 - Gross Potential Rent</t>
  </si>
  <si>
    <t xml:space="preserve">      4002.000 - Loss/Gain to Lease</t>
  </si>
  <si>
    <t xml:space="preserve">      4011.000 - Vacancy Loss</t>
  </si>
  <si>
    <t xml:space="preserve">      4011.100 - Month to Month Rent</t>
  </si>
  <si>
    <t xml:space="preserve">      4014.000 - Bad Debt</t>
  </si>
  <si>
    <t xml:space="preserve">      4040.000 - One-Time Special or Allowance</t>
  </si>
  <si>
    <t xml:space="preserve">    NET RENTAL REVENUE</t>
  </si>
  <si>
    <t xml:space="preserve">    OTHER TENANT INCOME</t>
  </si>
  <si>
    <t xml:space="preserve">      4100.000 - Late Charges</t>
  </si>
  <si>
    <t xml:space="preserve">      4120.000 - Application Fee Income</t>
  </si>
  <si>
    <t xml:space="preserve">      4120.100 - Pet Fees</t>
  </si>
  <si>
    <t xml:space="preserve">      4120.200 - Administrative Fees</t>
  </si>
  <si>
    <t xml:space="preserve">      4124.000 - Lease Termination Fees</t>
  </si>
  <si>
    <t xml:space="preserve">      4140.000 - Reserved/ Covered Parking Fees</t>
  </si>
  <si>
    <t xml:space="preserve">      4150.000 - Miscellaneous Income</t>
  </si>
  <si>
    <t xml:space="preserve">      4150.100 - Cable/Internet Charges</t>
  </si>
  <si>
    <t xml:space="preserve">      4150.200 - Renters Insurance Charges</t>
  </si>
  <si>
    <t xml:space="preserve">      4150.300 - Transfer Fee</t>
  </si>
  <si>
    <t xml:space="preserve">      4150.400 - Keys, Cards and Remotes</t>
  </si>
  <si>
    <t xml:space="preserve">      4150.600 - Technology Fee</t>
  </si>
  <si>
    <t xml:space="preserve">      4160.000 - Utility Reimb/Water</t>
  </si>
  <si>
    <t xml:space="preserve">      4161.000 - Utility Reimb/Electric</t>
  </si>
  <si>
    <t xml:space="preserve">      4162.000 - Utility Reimb/Trash</t>
  </si>
  <si>
    <t xml:space="preserve">      4163.000 - Utility Reimb/Pest Control</t>
  </si>
  <si>
    <t xml:space="preserve">      4170.000 - Security Deposit Forfeiture</t>
  </si>
  <si>
    <t xml:space="preserve">    TOTAL OTHER TENANT INCOME</t>
  </si>
  <si>
    <t xml:space="preserve">    OTHER INCOME</t>
  </si>
  <si>
    <t xml:space="preserve">      4200.000 - Interest on Bank Accounts</t>
  </si>
  <si>
    <t xml:space="preserve">    TOTAL OTHER INCOME</t>
  </si>
  <si>
    <t xml:space="preserve">  TOTAL INCOME</t>
  </si>
  <si>
    <t xml:space="preserve">  EXPENSES</t>
  </si>
  <si>
    <t xml:space="preserve">    UTILITIES</t>
  </si>
  <si>
    <t xml:space="preserve">      6010.000 - Utilities - Electric / Vacant</t>
  </si>
  <si>
    <t xml:space="preserve">      6015.000 - Utilities - Electric / House</t>
  </si>
  <si>
    <t xml:space="preserve">      6025.000 - Utilities - Gas/ Heating Oil</t>
  </si>
  <si>
    <t xml:space="preserve">      6050.000 - Utilities - Water/Sewer</t>
  </si>
  <si>
    <t xml:space="preserve">      6090.000 - Telephone</t>
  </si>
  <si>
    <t xml:space="preserve">      6100.000 - Waste Disposal</t>
  </si>
  <si>
    <t xml:space="preserve">    TOTAL UTILITIES</t>
  </si>
  <si>
    <t xml:space="preserve">    CONTRACT SERVICES</t>
  </si>
  <si>
    <t xml:space="preserve">      6110.000 - Contract - Landscape Contract</t>
  </si>
  <si>
    <t xml:space="preserve">      6111.000 - Contract - Other Landscape/Irr</t>
  </si>
  <si>
    <t xml:space="preserve">      6120.000 - Contract - Security Patrol</t>
  </si>
  <si>
    <t xml:space="preserve">      6121.000 - Contract - Alarm Monitor</t>
  </si>
  <si>
    <t xml:space="preserve">      6123.000 - Contract - Key Maintenance</t>
  </si>
  <si>
    <t xml:space="preserve">      6140.000 - Contract - Pest Control</t>
  </si>
  <si>
    <t xml:space="preserve">      6210.000 - Contract - Repair Services</t>
  </si>
  <si>
    <t xml:space="preserve">    TOTAL CONTRACT SERVICES</t>
  </si>
  <si>
    <t xml:space="preserve">    REPAIRS &amp; MAINTENANCE</t>
  </si>
  <si>
    <t xml:space="preserve">      6220.000 - Equipment Repairs</t>
  </si>
  <si>
    <t xml:space="preserve">      6230.000 - HVAC Repairs &amp; Supplies</t>
  </si>
  <si>
    <t xml:space="preserve">      6240.000 - Pool Supplies</t>
  </si>
  <si>
    <t xml:space="preserve">      6250.000 - Paint Service &amp; Supplies</t>
  </si>
  <si>
    <t xml:space="preserve">      6251.000 - Resurface</t>
  </si>
  <si>
    <t xml:space="preserve">      6252.000 - Gate Repairs</t>
  </si>
  <si>
    <t xml:space="preserve">      6260.000 - Plumbing Repairs/Supplies</t>
  </si>
  <si>
    <t xml:space="preserve">      6270.000 - Electrical Repairs/Supplies</t>
  </si>
  <si>
    <t xml:space="preserve">      6272.000 - Small Tools</t>
  </si>
  <si>
    <t xml:space="preserve">      6280.000 - Parking Lot Repair/Maintenance</t>
  </si>
  <si>
    <t xml:space="preserve">      6310.000 - Building Exterior Repairs</t>
  </si>
  <si>
    <t xml:space="preserve">      6330.000 - Window and Door Repairs</t>
  </si>
  <si>
    <t xml:space="preserve">      6350.000 - Floor Clean &amp; Repair</t>
  </si>
  <si>
    <t xml:space="preserve">      6352.000 - Housekeeping/Apt Cleaning</t>
  </si>
  <si>
    <t xml:space="preserve">      6354.000 - Appliances &amp; Parts</t>
  </si>
  <si>
    <t xml:space="preserve">      6355.000 - General Interior Repairs</t>
  </si>
  <si>
    <t xml:space="preserve">    TOTAL REPAIRS &amp; MAINTENANCE</t>
  </si>
  <si>
    <t xml:space="preserve">    PAYROLL</t>
  </si>
  <si>
    <t xml:space="preserve">      6410.000 - Payroll - Administrative</t>
  </si>
  <si>
    <t xml:space="preserve">      6410.700 - Payroll Rent Credit</t>
  </si>
  <si>
    <t xml:space="preserve">      6460.000 - Group Health Insurance</t>
  </si>
  <si>
    <t xml:space="preserve">    6470.000 - Worker’s Compensation</t>
  </si>
  <si>
    <t xml:space="preserve">      6480.000 - Drug Screening</t>
  </si>
  <si>
    <t xml:space="preserve">    TOTAL PAYROLL</t>
  </si>
  <si>
    <t xml:space="preserve">    TAXES AND INSURANCE</t>
  </si>
  <si>
    <t xml:space="preserve">      6510.000 - Insurance</t>
  </si>
  <si>
    <t xml:space="preserve">      6520.000 - Ad Valorem (Property) Taxes</t>
  </si>
  <si>
    <t xml:space="preserve">      6530.000 - Other Taxes</t>
  </si>
  <si>
    <t xml:space="preserve">    TOTAL TAXES AND INSURANCE</t>
  </si>
  <si>
    <t xml:space="preserve">    MANAGEMENT FEES</t>
  </si>
  <si>
    <t xml:space="preserve">      6540.000 - Management Fees</t>
  </si>
  <si>
    <t xml:space="preserve">    TOTAL MANAGEMENT FEES</t>
  </si>
  <si>
    <t xml:space="preserve">    ADMINISTRATIVE EXPENSE</t>
  </si>
  <si>
    <t xml:space="preserve">      6600.000 - Eviction Costs</t>
  </si>
  <si>
    <t xml:space="preserve">      6605.000 - Utility Billing</t>
  </si>
  <si>
    <t xml:space="preserve">      6606.000 - Tenant Liability Insurance</t>
  </si>
  <si>
    <t xml:space="preserve">      6610.000 - Resident Screening</t>
  </si>
  <si>
    <t xml:space="preserve">      6615.000 - Fees, Dues &amp; Subscriptions</t>
  </si>
  <si>
    <t xml:space="preserve">      6616.000 - Bank Fees</t>
  </si>
  <si>
    <t xml:space="preserve">      6620.000 - Office Supplies and Equipment</t>
  </si>
  <si>
    <t xml:space="preserve">      6621.000 - Answering Service</t>
  </si>
  <si>
    <t xml:space="preserve">      6622.000 - Uniforms</t>
  </si>
  <si>
    <t xml:space="preserve">      6625.000 - Data Processing and Software</t>
  </si>
  <si>
    <t xml:space="preserve">      6626.000 - IT Support Website</t>
  </si>
  <si>
    <t xml:space="preserve">      6630.000 - Postage, Courier, and Freight</t>
  </si>
  <si>
    <t xml:space="preserve">      6635.000 - Meetings and Training Classes</t>
  </si>
  <si>
    <t xml:space="preserve">      6655.000 - Other Professional Services</t>
  </si>
  <si>
    <t xml:space="preserve">      6660.000 - Permits &amp; Registration</t>
  </si>
  <si>
    <t xml:space="preserve">      6670.000 - Meals &amp; Entertainment</t>
  </si>
  <si>
    <t xml:space="preserve">    TOTAL ADMINISTRATIVE EXPENSE</t>
  </si>
  <si>
    <t xml:space="preserve">    MARKETING</t>
  </si>
  <si>
    <t xml:space="preserve">      6705.000 - Resident Party &amp; Functions</t>
  </si>
  <si>
    <t xml:space="preserve">      6708.000 - Marketing/Events</t>
  </si>
  <si>
    <t xml:space="preserve">      6730.000 - Internet Ads &amp; Listings</t>
  </si>
  <si>
    <t xml:space="preserve">    TOTAL MARKETING</t>
  </si>
  <si>
    <t xml:space="preserve">  TOTAL EXPENSES</t>
  </si>
  <si>
    <t>Knightvest Management LLC - Strada</t>
  </si>
  <si>
    <t>Unit 
Designation</t>
  </si>
  <si>
    <t>Sub Journal</t>
  </si>
  <si>
    <t>Required
Deposit</t>
  </si>
  <si>
    <t>Lease Rent</t>
  </si>
  <si>
    <t>SMARTHOME</t>
  </si>
  <si>
    <t>TRASHREIMB</t>
  </si>
  <si>
    <t>UTILITY</t>
  </si>
  <si>
    <t>PESTREIMNB</t>
  </si>
  <si>
    <t>RENTERSINS</t>
  </si>
  <si>
    <t>CARPORT</t>
  </si>
  <si>
    <t>PETRENT</t>
  </si>
  <si>
    <t>Internet</t>
  </si>
  <si>
    <t>SHRTTERM</t>
  </si>
  <si>
    <t>MTOM</t>
  </si>
  <si>
    <t>EMPLCRED</t>
  </si>
  <si>
    <t>Total Billing</t>
  </si>
  <si>
    <t>1-101</t>
  </si>
  <si>
    <t>RESIDENT</t>
  </si>
  <si>
    <t>1-102</t>
  </si>
  <si>
    <t>Arellano, samantha</t>
  </si>
  <si>
    <t>1-103</t>
  </si>
  <si>
    <t>B2G</t>
  </si>
  <si>
    <t>1-104</t>
  </si>
  <si>
    <t>Cesar, Maria</t>
  </si>
  <si>
    <t>06/01/2022</t>
  </si>
  <si>
    <t>1-105</t>
  </si>
  <si>
    <t>VACANT</t>
  </si>
  <si>
    <t>1-106</t>
  </si>
  <si>
    <t>09/03/2025</t>
  </si>
  <si>
    <t>1-107</t>
  </si>
  <si>
    <t>1-108</t>
  </si>
  <si>
    <t>Snider, Lillian</t>
  </si>
  <si>
    <t>08/24/2024</t>
  </si>
  <si>
    <t>1-109</t>
  </si>
  <si>
    <t>1-110</t>
  </si>
  <si>
    <t>A3G</t>
  </si>
  <si>
    <t>Tapia, Angela</t>
  </si>
  <si>
    <t>04/12/2023</t>
  </si>
  <si>
    <t>05/12/2026</t>
  </si>
  <si>
    <t>1-111</t>
  </si>
  <si>
    <t>08/19/2024</t>
  </si>
  <si>
    <t>1-112</t>
  </si>
  <si>
    <t>Davis, Bailey</t>
  </si>
  <si>
    <t>08/09/2024</t>
  </si>
  <si>
    <t>1-113</t>
  </si>
  <si>
    <t>Rossell, Shanna</t>
  </si>
  <si>
    <t>1-114</t>
  </si>
  <si>
    <t>1-115</t>
  </si>
  <si>
    <t>Kupka, William</t>
  </si>
  <si>
    <t>09/18/2015</t>
  </si>
  <si>
    <t>03/18/2025</t>
  </si>
  <si>
    <t>03/17/2026</t>
  </si>
  <si>
    <t>1-116</t>
  </si>
  <si>
    <t>1-117</t>
  </si>
  <si>
    <t>1-118</t>
  </si>
  <si>
    <t>Igwee, Lydia</t>
  </si>
  <si>
    <t>12/28/2024</t>
  </si>
  <si>
    <t>1-119</t>
  </si>
  <si>
    <t>1-120</t>
  </si>
  <si>
    <t>Biggers, Jessica</t>
  </si>
  <si>
    <t>02/21/2025</t>
  </si>
  <si>
    <t>02/20/2026</t>
  </si>
  <si>
    <t>1-121</t>
  </si>
  <si>
    <t>Kane, Alan</t>
  </si>
  <si>
    <t>07/06/2017</t>
  </si>
  <si>
    <t>1-122</t>
  </si>
  <si>
    <t>Dossani, Omer</t>
  </si>
  <si>
    <t>10/03/2025</t>
  </si>
  <si>
    <t>1-123</t>
  </si>
  <si>
    <t>Alvarez Ponce, Stephanie</t>
  </si>
  <si>
    <t>03/26/2026</t>
  </si>
  <si>
    <t>1-124</t>
  </si>
  <si>
    <t>1-125</t>
  </si>
  <si>
    <t>Moran, Keegan</t>
  </si>
  <si>
    <t>05/27/2022</t>
  </si>
  <si>
    <t>07/07/2025</t>
  </si>
  <si>
    <t>1-126</t>
  </si>
  <si>
    <t>1-127</t>
  </si>
  <si>
    <t>Ramirez, Alejandra</t>
  </si>
  <si>
    <t>05/12/2025</t>
  </si>
  <si>
    <t>1-128</t>
  </si>
  <si>
    <t>Coleman, Quinsey</t>
  </si>
  <si>
    <t>08/06/2019</t>
  </si>
  <si>
    <t>10/02/2024</t>
  </si>
  <si>
    <t>1-129</t>
  </si>
  <si>
    <t>Harrell Jr, Calvin</t>
  </si>
  <si>
    <t>02/21/2023</t>
  </si>
  <si>
    <t>1-130</t>
  </si>
  <si>
    <t>1-131</t>
  </si>
  <si>
    <t>1-132</t>
  </si>
  <si>
    <t>1-133</t>
  </si>
  <si>
    <t>Teller, Damian</t>
  </si>
  <si>
    <t>12/26/2023</t>
  </si>
  <si>
    <t>1-134</t>
  </si>
  <si>
    <t>12/12/2025</t>
  </si>
  <si>
    <t>1-135</t>
  </si>
  <si>
    <t>1-137</t>
  </si>
  <si>
    <t>Corrigan, Kevin</t>
  </si>
  <si>
    <t>12/12/2020</t>
  </si>
  <si>
    <t>1-138</t>
  </si>
  <si>
    <t>Riley, Kody</t>
  </si>
  <si>
    <t>07/27/2024</t>
  </si>
  <si>
    <t>08/26/2025</t>
  </si>
  <si>
    <t>1-139</t>
  </si>
  <si>
    <t>04/26/2025</t>
  </si>
  <si>
    <t>1-140</t>
  </si>
  <si>
    <t>Nelson, Norris</t>
  </si>
  <si>
    <t>1-141</t>
  </si>
  <si>
    <t>1-142</t>
  </si>
  <si>
    <t>Campbell, Alexandra</t>
  </si>
  <si>
    <t>1-143</t>
  </si>
  <si>
    <t>1-144</t>
  </si>
  <si>
    <t>Montez, Marissa</t>
  </si>
  <si>
    <t>12/16/2022</t>
  </si>
  <si>
    <t>1-145</t>
  </si>
  <si>
    <t>08/18/2025</t>
  </si>
  <si>
    <t>1-146</t>
  </si>
  <si>
    <t>06/15/2024</t>
  </si>
  <si>
    <t>06/16/2025</t>
  </si>
  <si>
    <t>1-147</t>
  </si>
  <si>
    <t>Sosa, Christina</t>
  </si>
  <si>
    <t>09/18/2023</t>
  </si>
  <si>
    <t>1-148</t>
  </si>
  <si>
    <t>1-149</t>
  </si>
  <si>
    <t>1-150</t>
  </si>
  <si>
    <t>Othman, Mohamed</t>
  </si>
  <si>
    <t>05/02/2023</t>
  </si>
  <si>
    <t>1-151</t>
  </si>
  <si>
    <t>07/22/2025</t>
  </si>
  <si>
    <t>08/06/2025</t>
  </si>
  <si>
    <t>1-152</t>
  </si>
  <si>
    <t>Maples, Ivan</t>
  </si>
  <si>
    <t>08/04/2023</t>
  </si>
  <si>
    <t>08/03/2024</t>
  </si>
  <si>
    <t>1-153</t>
  </si>
  <si>
    <t>02/13/2026</t>
  </si>
  <si>
    <t>1-154</t>
  </si>
  <si>
    <t>1-155</t>
  </si>
  <si>
    <t>Dryden, Dylan</t>
  </si>
  <si>
    <t>02/20/2024</t>
  </si>
  <si>
    <t>1-156</t>
  </si>
  <si>
    <t>1-157</t>
  </si>
  <si>
    <t>Wiscombe, John</t>
  </si>
  <si>
    <t>12/29/2021</t>
  </si>
  <si>
    <t>12/28/2022</t>
  </si>
  <si>
    <t>1-158</t>
  </si>
  <si>
    <t>1-159</t>
  </si>
  <si>
    <t>Quah, Eliza</t>
  </si>
  <si>
    <t>07/29/2024</t>
  </si>
  <si>
    <t>1-160</t>
  </si>
  <si>
    <t>1-161</t>
  </si>
  <si>
    <t>1-162</t>
  </si>
  <si>
    <t>Herreman, Emily</t>
  </si>
  <si>
    <t>1-163</t>
  </si>
  <si>
    <t>HALL, ZINA</t>
  </si>
  <si>
    <t>09/26/2025</t>
  </si>
  <si>
    <t>1-164</t>
  </si>
  <si>
    <t>Marun, Tanya</t>
  </si>
  <si>
    <t>1-165</t>
  </si>
  <si>
    <t>Barragan Hernandez, Nydia</t>
  </si>
  <si>
    <t>1-166</t>
  </si>
  <si>
    <t>04/23/2025</t>
  </si>
  <si>
    <t>04/22/2026</t>
  </si>
  <si>
    <t>1-167</t>
  </si>
  <si>
    <t>1-168</t>
  </si>
  <si>
    <t>Feliciano, Deanna</t>
  </si>
  <si>
    <t>05/19/2025</t>
  </si>
  <si>
    <t>1-169</t>
  </si>
  <si>
    <t>10/25/2022</t>
  </si>
  <si>
    <t>1-170</t>
  </si>
  <si>
    <t>Touchine, Mercedes</t>
  </si>
  <si>
    <t>07/15/2022</t>
  </si>
  <si>
    <t>08/18/2024</t>
  </si>
  <si>
    <t>1-171</t>
  </si>
  <si>
    <t>12/30/2025</t>
  </si>
  <si>
    <t>1-172</t>
  </si>
  <si>
    <t>Nuadjim Guiakam, Pierre Cyrille</t>
  </si>
  <si>
    <t>1-173</t>
  </si>
  <si>
    <t>Barendrick, Sydney</t>
  </si>
  <si>
    <t>02/26/2022</t>
  </si>
  <si>
    <t>02/25/2025</t>
  </si>
  <si>
    <t>1-174</t>
  </si>
  <si>
    <t>Fye, Russell</t>
  </si>
  <si>
    <t>02/18/2019</t>
  </si>
  <si>
    <t>1-175</t>
  </si>
  <si>
    <t>Abril, Claudia</t>
  </si>
  <si>
    <t>07/26/2019</t>
  </si>
  <si>
    <t>1-176</t>
  </si>
  <si>
    <t>1-177</t>
  </si>
  <si>
    <t>Quiruz, Izaiah</t>
  </si>
  <si>
    <t>03/21/2025</t>
  </si>
  <si>
    <t>1-178</t>
  </si>
  <si>
    <t>Vukas, Sheryl</t>
  </si>
  <si>
    <t>04/19/2019</t>
  </si>
  <si>
    <t>1-179</t>
  </si>
  <si>
    <t>Simpson, Rebecca</t>
  </si>
  <si>
    <t>01/11/2020</t>
  </si>
  <si>
    <t>1-180</t>
  </si>
  <si>
    <t>Ortis, Colin</t>
  </si>
  <si>
    <t>1-181</t>
  </si>
  <si>
    <t>1-182</t>
  </si>
  <si>
    <t>1-183</t>
  </si>
  <si>
    <t>Thompson, Carole</t>
  </si>
  <si>
    <t>11/06/2001</t>
  </si>
  <si>
    <t>1-184</t>
  </si>
  <si>
    <t>Gayosso, Eric</t>
  </si>
  <si>
    <t>1-185</t>
  </si>
  <si>
    <t>Montes, Whitley</t>
  </si>
  <si>
    <t>04/04/2024</t>
  </si>
  <si>
    <t>1-186</t>
  </si>
  <si>
    <t>Miranda, David</t>
  </si>
  <si>
    <t>06/26/2026</t>
  </si>
  <si>
    <t>1-187</t>
  </si>
  <si>
    <t>Lewis, Michael</t>
  </si>
  <si>
    <t>08/05/2024</t>
  </si>
  <si>
    <t>1-188</t>
  </si>
  <si>
    <t>B1G</t>
  </si>
  <si>
    <t>Medlen, Lauren</t>
  </si>
  <si>
    <t>09/25/2024</t>
  </si>
  <si>
    <t>1-189</t>
  </si>
  <si>
    <t>10/26/2024</t>
  </si>
  <si>
    <t>1-190</t>
  </si>
  <si>
    <t>1-191</t>
  </si>
  <si>
    <t>Palthe, Daniel</t>
  </si>
  <si>
    <t>07/26/2023</t>
  </si>
  <si>
    <t>1-192</t>
  </si>
  <si>
    <t>Mayback, Susan</t>
  </si>
  <si>
    <t>02/03/2018</t>
  </si>
  <si>
    <t>1-193</t>
  </si>
  <si>
    <t>05/01/2026</t>
  </si>
  <si>
    <t>1-194</t>
  </si>
  <si>
    <t>Frey, Heidi</t>
  </si>
  <si>
    <t>1-201</t>
  </si>
  <si>
    <t>Schlinglof, Lilly</t>
  </si>
  <si>
    <t>03/27/2024</t>
  </si>
  <si>
    <t>03/27/2025</t>
  </si>
  <si>
    <t>1-202</t>
  </si>
  <si>
    <t>Fruzynski, Andrew</t>
  </si>
  <si>
    <t>03/21/2017</t>
  </si>
  <si>
    <t>03/04/2026</t>
  </si>
  <si>
    <t>1-203</t>
  </si>
  <si>
    <t>Scott, Kristopher</t>
  </si>
  <si>
    <t>1-204</t>
  </si>
  <si>
    <t>1-205</t>
  </si>
  <si>
    <t>1-206</t>
  </si>
  <si>
    <t>Rice Almada, Jorge</t>
  </si>
  <si>
    <t>04/17/2023</t>
  </si>
  <si>
    <t>04/15/2025</t>
  </si>
  <si>
    <t>1-207</t>
  </si>
  <si>
    <t>1-208</t>
  </si>
  <si>
    <t>1-209</t>
  </si>
  <si>
    <t>McQueen, Sterling</t>
  </si>
  <si>
    <t>02/10/2018</t>
  </si>
  <si>
    <t>1-210</t>
  </si>
  <si>
    <t>Diaz, Ingrid</t>
  </si>
  <si>
    <t>1-211</t>
  </si>
  <si>
    <t>1-212</t>
  </si>
  <si>
    <t>1-213</t>
  </si>
  <si>
    <t>Rodriguez, Alejandra</t>
  </si>
  <si>
    <t>05/18/2024</t>
  </si>
  <si>
    <t>05/19/2026</t>
  </si>
  <si>
    <t>1-214</t>
  </si>
  <si>
    <t>McCasland, Sammi</t>
  </si>
  <si>
    <t>1-215</t>
  </si>
  <si>
    <t>Bano Sanoguera, Mauro</t>
  </si>
  <si>
    <t>06/01/2024</t>
  </si>
  <si>
    <t>1-216</t>
  </si>
  <si>
    <t>Goggans, Nia</t>
  </si>
  <si>
    <t>1-217</t>
  </si>
  <si>
    <t>Walker, Darion</t>
  </si>
  <si>
    <t>1-218</t>
  </si>
  <si>
    <t>03/23/2026</t>
  </si>
  <si>
    <t>1-219</t>
  </si>
  <si>
    <t>1-220</t>
  </si>
  <si>
    <t>Foster, Alexander</t>
  </si>
  <si>
    <t>04/02/2024</t>
  </si>
  <si>
    <t>1-221</t>
  </si>
  <si>
    <t>1-222</t>
  </si>
  <si>
    <t>1-223</t>
  </si>
  <si>
    <t>Galaz, Ashley</t>
  </si>
  <si>
    <t>02/15/2025</t>
  </si>
  <si>
    <t>1-224</t>
  </si>
  <si>
    <t>Folsom, Kristen</t>
  </si>
  <si>
    <t>03/12/2020</t>
  </si>
  <si>
    <t>1-225</t>
  </si>
  <si>
    <t>Simpson, Audrienna</t>
  </si>
  <si>
    <t>06/27/2023</t>
  </si>
  <si>
    <t>1-226</t>
  </si>
  <si>
    <t>1-227</t>
  </si>
  <si>
    <t>07/14/2025</t>
  </si>
  <si>
    <t>1-228</t>
  </si>
  <si>
    <t>1-229</t>
  </si>
  <si>
    <t>Wagner, Lynn</t>
  </si>
  <si>
    <t>04/09/2026</t>
  </si>
  <si>
    <t>1-230</t>
  </si>
  <si>
    <t>San Miguel, John</t>
  </si>
  <si>
    <t>1-231</t>
  </si>
  <si>
    <t>03/24/2025</t>
  </si>
  <si>
    <t>1-232</t>
  </si>
  <si>
    <t>1-233</t>
  </si>
  <si>
    <t>Perea, Krystal</t>
  </si>
  <si>
    <t>03/15/2025</t>
  </si>
  <si>
    <t>1-234</t>
  </si>
  <si>
    <t>Abella, Aurora</t>
  </si>
  <si>
    <t>1-235</t>
  </si>
  <si>
    <t>Campos, Ruben</t>
  </si>
  <si>
    <t>06/05/2025</t>
  </si>
  <si>
    <t>06/04/2026</t>
  </si>
  <si>
    <t>1-236</t>
  </si>
  <si>
    <t>Collins, Vanessa</t>
  </si>
  <si>
    <t>01/28/2026</t>
  </si>
  <si>
    <t>1-237</t>
  </si>
  <si>
    <t>1-238</t>
  </si>
  <si>
    <t>1-239</t>
  </si>
  <si>
    <t>Stopnik, Evan</t>
  </si>
  <si>
    <t>1-240</t>
  </si>
  <si>
    <t>Mccumber, Harley</t>
  </si>
  <si>
    <t>1-241</t>
  </si>
  <si>
    <t>Ramirez, Lindsey</t>
  </si>
  <si>
    <t>06/29/2024</t>
  </si>
  <si>
    <t>1-242</t>
  </si>
  <si>
    <t>1-243</t>
  </si>
  <si>
    <t>Goguen, Scott</t>
  </si>
  <si>
    <t>08/11/2023</t>
  </si>
  <si>
    <t>1-244</t>
  </si>
  <si>
    <t>1-245</t>
  </si>
  <si>
    <t>1-246</t>
  </si>
  <si>
    <t>Harlin, Brittany</t>
  </si>
  <si>
    <t>12/05/2025</t>
  </si>
  <si>
    <t>1-247</t>
  </si>
  <si>
    <t>Ducker, Emily</t>
  </si>
  <si>
    <t>1-248</t>
  </si>
  <si>
    <t>Zimmerman, Cameron</t>
  </si>
  <si>
    <t>04/26/2024</t>
  </si>
  <si>
    <t>1-249</t>
  </si>
  <si>
    <t>1-250</t>
  </si>
  <si>
    <t>1-251</t>
  </si>
  <si>
    <t>1-252</t>
  </si>
  <si>
    <t>Solis, Gloria</t>
  </si>
  <si>
    <t>12/28/2011</t>
  </si>
  <si>
    <t>1-253</t>
  </si>
  <si>
    <t>Schaaf, Jordan</t>
  </si>
  <si>
    <t>04/19/2024</t>
  </si>
  <si>
    <t>1-254</t>
  </si>
  <si>
    <t>Ellington, Joshua</t>
  </si>
  <si>
    <t>1-255</t>
  </si>
  <si>
    <t>Alberson, Katelyn</t>
  </si>
  <si>
    <t>1-256</t>
  </si>
  <si>
    <t>Pina, Paulina</t>
  </si>
  <si>
    <t>1-257</t>
  </si>
  <si>
    <t>Famoso, Brian</t>
  </si>
  <si>
    <t>11/05/2019</t>
  </si>
  <si>
    <t>1-258</t>
  </si>
  <si>
    <t>Welch, Dustin</t>
  </si>
  <si>
    <t>05/26/2021</t>
  </si>
  <si>
    <t>1-259</t>
  </si>
  <si>
    <t>Hunter, Wyatt</t>
  </si>
  <si>
    <t>09/29/2023</t>
  </si>
  <si>
    <t>1-260</t>
  </si>
  <si>
    <t>1-261</t>
  </si>
  <si>
    <t>De Voe, Kaitlyn</t>
  </si>
  <si>
    <t>1-262</t>
  </si>
  <si>
    <t>Raabe, Thomas</t>
  </si>
  <si>
    <t>08/05/2014</t>
  </si>
  <si>
    <t>11/12/2025</t>
  </si>
  <si>
    <t>1-263</t>
  </si>
  <si>
    <t>Pinder, John</t>
  </si>
  <si>
    <t>1-264</t>
  </si>
  <si>
    <t>Sexton, Patrick</t>
  </si>
  <si>
    <t>05/25/2024</t>
  </si>
  <si>
    <t>1-265</t>
  </si>
  <si>
    <t>Patel, Pranav</t>
  </si>
  <si>
    <t>1-266</t>
  </si>
  <si>
    <t>06/21/2025</t>
  </si>
  <si>
    <t>1-267</t>
  </si>
  <si>
    <t>1-268</t>
  </si>
  <si>
    <t>Begay, Kasey</t>
  </si>
  <si>
    <t>05/24/2025</t>
  </si>
  <si>
    <t>1-269</t>
  </si>
  <si>
    <t>Joyner, Macy</t>
  </si>
  <si>
    <t>01/27/2025</t>
  </si>
  <si>
    <t>1-270</t>
  </si>
  <si>
    <t>Flores, Janeth</t>
  </si>
  <si>
    <t>06/11/2022</t>
  </si>
  <si>
    <t>1-271</t>
  </si>
  <si>
    <t>Pitts, Natasha</t>
  </si>
  <si>
    <t>02/22/2023</t>
  </si>
  <si>
    <t>1-272</t>
  </si>
  <si>
    <t>Kamako Nyasse, Gilles</t>
  </si>
  <si>
    <t>09/12/2025</t>
  </si>
  <si>
    <t>1-273</t>
  </si>
  <si>
    <t>Orr, Collin</t>
  </si>
  <si>
    <t>05/07/2024</t>
  </si>
  <si>
    <t>1-274</t>
  </si>
  <si>
    <t>Berg, Kaitlyn</t>
  </si>
  <si>
    <t>1-275</t>
  </si>
  <si>
    <t>1-276</t>
  </si>
  <si>
    <t>1-277</t>
  </si>
  <si>
    <t>1-278</t>
  </si>
  <si>
    <t>1-279</t>
  </si>
  <si>
    <t>McFarlane, Roberto</t>
  </si>
  <si>
    <t>1-280</t>
  </si>
  <si>
    <t>Thomas, Eloise</t>
  </si>
  <si>
    <t>03/31/2020</t>
  </si>
  <si>
    <t>05/14/2025</t>
  </si>
  <si>
    <t>05/13/2026</t>
  </si>
  <si>
    <t>1-281</t>
  </si>
  <si>
    <t>1-282</t>
  </si>
  <si>
    <t>1-283</t>
  </si>
  <si>
    <t>Dragan, Nathaniel</t>
  </si>
  <si>
    <t>1-284</t>
  </si>
  <si>
    <t>1-285</t>
  </si>
  <si>
    <t>Zolinski, Daniel</t>
  </si>
  <si>
    <t>1-286</t>
  </si>
  <si>
    <t>harper, faith</t>
  </si>
  <si>
    <t>03/13/2024</t>
  </si>
  <si>
    <t>1-287</t>
  </si>
  <si>
    <t>Kamara, Aminata</t>
  </si>
  <si>
    <t>1-288</t>
  </si>
  <si>
    <t>Worthey, Kaitlyn</t>
  </si>
  <si>
    <t>1-289</t>
  </si>
  <si>
    <t>1-290</t>
  </si>
  <si>
    <t>Collins, Nathan</t>
  </si>
  <si>
    <t>1-291</t>
  </si>
  <si>
    <t>Guilliod, Natalia</t>
  </si>
  <si>
    <t>02/01/2024</t>
  </si>
  <si>
    <t>1-292</t>
  </si>
  <si>
    <t>12/18/2024</t>
  </si>
  <si>
    <t>12/17/2025</t>
  </si>
  <si>
    <t>1-293</t>
  </si>
  <si>
    <t>Leon sanchez, Janeth</t>
  </si>
  <si>
    <t>1-294</t>
  </si>
  <si>
    <t>Espinoza, Mirza</t>
  </si>
  <si>
    <t>07/31/2025</t>
  </si>
  <si>
    <t>1-309</t>
  </si>
  <si>
    <t>Pendergast, Tanner</t>
  </si>
  <si>
    <t>1-310</t>
  </si>
  <si>
    <t>1-311</t>
  </si>
  <si>
    <t>Capitan, Aisha</t>
  </si>
  <si>
    <t>1-312</t>
  </si>
  <si>
    <t>1-313</t>
  </si>
  <si>
    <t>Villicana, Gabriella</t>
  </si>
  <si>
    <t>1-314</t>
  </si>
  <si>
    <t>1-315</t>
  </si>
  <si>
    <t>1-316</t>
  </si>
  <si>
    <t>1-317</t>
  </si>
  <si>
    <t>BRANNEN, SEAN</t>
  </si>
  <si>
    <t>04/01/2022</t>
  </si>
  <si>
    <t>1-318</t>
  </si>
  <si>
    <t>Everett, Harriet</t>
  </si>
  <si>
    <t>05/03/2025</t>
  </si>
  <si>
    <t>1-319</t>
  </si>
  <si>
    <t>Thomas, Samantha</t>
  </si>
  <si>
    <t>06/27/2025</t>
  </si>
  <si>
    <t>1-320</t>
  </si>
  <si>
    <t>Lindor, albertsons</t>
  </si>
  <si>
    <t>07/03/2024</t>
  </si>
  <si>
    <t>07/02/2025</t>
  </si>
  <si>
    <t>1-321</t>
  </si>
  <si>
    <t>Bocardo Felix, Alin</t>
  </si>
  <si>
    <t>1-322</t>
  </si>
  <si>
    <t>1-323</t>
  </si>
  <si>
    <t>Harnden, Brian</t>
  </si>
  <si>
    <t>05/24/2023</t>
  </si>
  <si>
    <t>1-324</t>
  </si>
  <si>
    <t>Rajkumar, Vivekananth</t>
  </si>
  <si>
    <t>1-333</t>
  </si>
  <si>
    <t>Henderson, jamyra</t>
  </si>
  <si>
    <t>1-334</t>
  </si>
  <si>
    <t>Stallybrass, Lauren</t>
  </si>
  <si>
    <t>04/22/2022</t>
  </si>
  <si>
    <t>1-335</t>
  </si>
  <si>
    <t>1-336</t>
  </si>
  <si>
    <t>1-337</t>
  </si>
  <si>
    <t>Nguyen, Brian</t>
  </si>
  <si>
    <t>1-338</t>
  </si>
  <si>
    <t>Mack, Tyrese</t>
  </si>
  <si>
    <t>11/29/2024</t>
  </si>
  <si>
    <t>1-339</t>
  </si>
  <si>
    <t>Anderson, Tara</t>
  </si>
  <si>
    <t>1-340</t>
  </si>
  <si>
    <t>Gonzalez, Raquel</t>
  </si>
  <si>
    <t>03/08/2025</t>
  </si>
  <si>
    <t>03/06/2026</t>
  </si>
  <si>
    <t>1-341</t>
  </si>
  <si>
    <t>1-342</t>
  </si>
  <si>
    <t>Breitkreutz, Hunter</t>
  </si>
  <si>
    <t>1-343</t>
  </si>
  <si>
    <t>Boulton, Ian</t>
  </si>
  <si>
    <t>11/26/2012</t>
  </si>
  <si>
    <t>1-344</t>
  </si>
  <si>
    <t>Carroll, Wylene</t>
  </si>
  <si>
    <t>1-345</t>
  </si>
  <si>
    <t>1-346</t>
  </si>
  <si>
    <t>01/18/2025</t>
  </si>
  <si>
    <t>1-347</t>
  </si>
  <si>
    <t>Kilula, Imani</t>
  </si>
  <si>
    <t>1-348</t>
  </si>
  <si>
    <t>Adams, Karianne</t>
  </si>
  <si>
    <t>09/16/2019</t>
  </si>
  <si>
    <t>1-349</t>
  </si>
  <si>
    <t>1-350</t>
  </si>
  <si>
    <t>1-351</t>
  </si>
  <si>
    <t>09/06/2025</t>
  </si>
  <si>
    <t>1-352</t>
  </si>
  <si>
    <t>Lockwood, Nevin</t>
  </si>
  <si>
    <t>1-353</t>
  </si>
  <si>
    <t>Zhanay, Rene</t>
  </si>
  <si>
    <t>1-354</t>
  </si>
  <si>
    <t>1-355</t>
  </si>
  <si>
    <t>Birchfield, Breanna</t>
  </si>
  <si>
    <t>1-356</t>
  </si>
  <si>
    <t>Mc Cutcheon, Lynda</t>
  </si>
  <si>
    <t>12/19/2025</t>
  </si>
  <si>
    <t>1-357</t>
  </si>
  <si>
    <t>1-358</t>
  </si>
  <si>
    <t>Junge, Erik</t>
  </si>
  <si>
    <t>1-359</t>
  </si>
  <si>
    <t>Tyler, Brady</t>
  </si>
  <si>
    <t>08/24/2023</t>
  </si>
  <si>
    <t>1-360</t>
  </si>
  <si>
    <t>Go, Harim</t>
  </si>
  <si>
    <t>1-361</t>
  </si>
  <si>
    <t>Henderson, Jocelyn</t>
  </si>
  <si>
    <t>03/18/2024</t>
  </si>
  <si>
    <t>1-362</t>
  </si>
  <si>
    <t>1-363</t>
  </si>
  <si>
    <t>Wentz, Bridget</t>
  </si>
  <si>
    <t>05/18/2021</t>
  </si>
  <si>
    <t>05/21/2025</t>
  </si>
  <si>
    <t>05/20/2026</t>
  </si>
  <si>
    <t>1-364</t>
  </si>
  <si>
    <t>Ramirez, Darian</t>
  </si>
  <si>
    <t>05/04/2026</t>
  </si>
  <si>
    <t>1-373</t>
  </si>
  <si>
    <t>Sipple, Kevin</t>
  </si>
  <si>
    <t>1-374</t>
  </si>
  <si>
    <t>Uribe, Bryan</t>
  </si>
  <si>
    <t>1-377</t>
  </si>
  <si>
    <t>1-378</t>
  </si>
  <si>
    <t>Rangel, Gabriel</t>
  </si>
  <si>
    <t>1-379</t>
  </si>
  <si>
    <t>Dykes, susan</t>
  </si>
  <si>
    <t>1-380</t>
  </si>
  <si>
    <t>Salva, Sonora</t>
  </si>
  <si>
    <t>12/15/2021</t>
  </si>
  <si>
    <t>1-381</t>
  </si>
  <si>
    <t>1-382</t>
  </si>
  <si>
    <t>Cardoza, Amanda</t>
  </si>
  <si>
    <t>03/12/2022</t>
  </si>
  <si>
    <t>1-383</t>
  </si>
  <si>
    <t>Arevalo, Ilsee</t>
  </si>
  <si>
    <t>11/26/2022</t>
  </si>
  <si>
    <t>1-384</t>
  </si>
  <si>
    <t>1-385</t>
  </si>
  <si>
    <t>Kuykendall, Elliot</t>
  </si>
  <si>
    <t>01/04/2019</t>
  </si>
  <si>
    <t>1-386</t>
  </si>
  <si>
    <t>2-101</t>
  </si>
  <si>
    <t>2-102</t>
  </si>
  <si>
    <t>Winfrey, valencia</t>
  </si>
  <si>
    <t>2-103</t>
  </si>
  <si>
    <t>Darrington, Riviara</t>
  </si>
  <si>
    <t>2-104</t>
  </si>
  <si>
    <t>2-105</t>
  </si>
  <si>
    <t>02/24/2023</t>
  </si>
  <si>
    <t>2-106</t>
  </si>
  <si>
    <t>2-107</t>
  </si>
  <si>
    <t>2-108</t>
  </si>
  <si>
    <t>11/27/2024</t>
  </si>
  <si>
    <t>11/26/2025</t>
  </si>
  <si>
    <t>2-109</t>
  </si>
  <si>
    <t>2-110</t>
  </si>
  <si>
    <t>Blackmon, Marcus</t>
  </si>
  <si>
    <t>2-111</t>
  </si>
  <si>
    <t>Salazar, Olga</t>
  </si>
  <si>
    <t>05/03/2019</t>
  </si>
  <si>
    <t>2-112</t>
  </si>
  <si>
    <t>Licona, Yanelle</t>
  </si>
  <si>
    <t>2-113</t>
  </si>
  <si>
    <t>KNIFFIN, JAMIE</t>
  </si>
  <si>
    <t>2-114</t>
  </si>
  <si>
    <t>2-115</t>
  </si>
  <si>
    <t>2-116</t>
  </si>
  <si>
    <t>Johnson, Carter</t>
  </si>
  <si>
    <t>04/01/2025</t>
  </si>
  <si>
    <t>2-117</t>
  </si>
  <si>
    <t>Carlos, Raven</t>
  </si>
  <si>
    <t>2-118</t>
  </si>
  <si>
    <t>02/10/2026</t>
  </si>
  <si>
    <t>2-119</t>
  </si>
  <si>
    <t>McKay, Kelsie</t>
  </si>
  <si>
    <t>2-120</t>
  </si>
  <si>
    <t>Mead, Dianne</t>
  </si>
  <si>
    <t>01/01/2007</t>
  </si>
  <si>
    <t>08/13/2025</t>
  </si>
  <si>
    <t>2-121</t>
  </si>
  <si>
    <t>Kling, Justin</t>
  </si>
  <si>
    <t>2-122</t>
  </si>
  <si>
    <t>2-123</t>
  </si>
  <si>
    <t>Hubbard, Keil</t>
  </si>
  <si>
    <t>05/16/2024</t>
  </si>
  <si>
    <t>05/15/2026</t>
  </si>
  <si>
    <t>2-124</t>
  </si>
  <si>
    <t>Johnson, Anthony</t>
  </si>
  <si>
    <t>2-125</t>
  </si>
  <si>
    <t>Clark, Roneiya</t>
  </si>
  <si>
    <t>2-126</t>
  </si>
  <si>
    <t>Hubbs, Brian</t>
  </si>
  <si>
    <t>02/01/2002</t>
  </si>
  <si>
    <t>2-127</t>
  </si>
  <si>
    <t>2-128</t>
  </si>
  <si>
    <t>2-129</t>
  </si>
  <si>
    <t>Guerrero, Daniel</t>
  </si>
  <si>
    <t>11/08/2019</t>
  </si>
  <si>
    <t>2-130</t>
  </si>
  <si>
    <t>02/21/2024</t>
  </si>
  <si>
    <t>2-131</t>
  </si>
  <si>
    <t>White, Ryan</t>
  </si>
  <si>
    <t>01/22/2018</t>
  </si>
  <si>
    <t>2-132</t>
  </si>
  <si>
    <t>Stanton, Paul</t>
  </si>
  <si>
    <t>2-133</t>
  </si>
  <si>
    <t>Tobin, Jennifer</t>
  </si>
  <si>
    <t>10/14/2024</t>
  </si>
  <si>
    <t>2-134</t>
  </si>
  <si>
    <t>01/07/2025</t>
  </si>
  <si>
    <t>01/06/2026</t>
  </si>
  <si>
    <t>2-135</t>
  </si>
  <si>
    <t>Salcido, Carlos</t>
  </si>
  <si>
    <t>06/14/2024</t>
  </si>
  <si>
    <t>2-136</t>
  </si>
  <si>
    <t>Lunga, Tariro</t>
  </si>
  <si>
    <t>2-137</t>
  </si>
  <si>
    <t>2-138</t>
  </si>
  <si>
    <t>Brown, Shatara</t>
  </si>
  <si>
    <t>02/10/2024</t>
  </si>
  <si>
    <t>2-139</t>
  </si>
  <si>
    <t>2-140</t>
  </si>
  <si>
    <t>Kemp, Jesse</t>
  </si>
  <si>
    <t>2-141</t>
  </si>
  <si>
    <t>Fittro, Olivia</t>
  </si>
  <si>
    <t>2-142</t>
  </si>
  <si>
    <t>2-143</t>
  </si>
  <si>
    <t>2-144</t>
  </si>
  <si>
    <t>2-145</t>
  </si>
  <si>
    <t>06/18/2025</t>
  </si>
  <si>
    <t>2-146</t>
  </si>
  <si>
    <t>2-147</t>
  </si>
  <si>
    <t>Mendez Martinez, Evelyn</t>
  </si>
  <si>
    <t>2-148</t>
  </si>
  <si>
    <t>Campbell, Jana</t>
  </si>
  <si>
    <t>2-149</t>
  </si>
  <si>
    <t>Trimboli, Nicholas</t>
  </si>
  <si>
    <t>02/08/2025</t>
  </si>
  <si>
    <t>02/06/2026</t>
  </si>
  <si>
    <t>2-150</t>
  </si>
  <si>
    <t>Begay, Aaron</t>
  </si>
  <si>
    <t>08/26/2023</t>
  </si>
  <si>
    <t>2-151</t>
  </si>
  <si>
    <t>2-152</t>
  </si>
  <si>
    <t>2-153</t>
  </si>
  <si>
    <t>Sandoval, Savannah</t>
  </si>
  <si>
    <t>08/06/2024</t>
  </si>
  <si>
    <t>2-154</t>
  </si>
  <si>
    <t>Aguirre, Roman</t>
  </si>
  <si>
    <t>2-155</t>
  </si>
  <si>
    <t>2-156</t>
  </si>
  <si>
    <t>09/19/2025</t>
  </si>
  <si>
    <t>2-157</t>
  </si>
  <si>
    <t>Briscoe, Rashema</t>
  </si>
  <si>
    <t>04/28/2025</t>
  </si>
  <si>
    <t>2-158</t>
  </si>
  <si>
    <t>Wells, Michael</t>
  </si>
  <si>
    <t>2-159</t>
  </si>
  <si>
    <t>2-160</t>
  </si>
  <si>
    <t>2-161</t>
  </si>
  <si>
    <t>2-162</t>
  </si>
  <si>
    <t>Gonzales, Anisa</t>
  </si>
  <si>
    <t>10/17/2025</t>
  </si>
  <si>
    <t>2-163</t>
  </si>
  <si>
    <t>2-164</t>
  </si>
  <si>
    <t>Perez, Christiana</t>
  </si>
  <si>
    <t>2-165</t>
  </si>
  <si>
    <t>ODonnell, Matthew</t>
  </si>
  <si>
    <t>01/27/2024</t>
  </si>
  <si>
    <t>2-166</t>
  </si>
  <si>
    <t>2-167</t>
  </si>
  <si>
    <t>Fant, Jason</t>
  </si>
  <si>
    <t>2-168</t>
  </si>
  <si>
    <t>2-169</t>
  </si>
  <si>
    <t>2-170</t>
  </si>
  <si>
    <t>2-171</t>
  </si>
  <si>
    <t>01/05/2024</t>
  </si>
  <si>
    <t>2-172</t>
  </si>
  <si>
    <t>2-173</t>
  </si>
  <si>
    <t>Urgitus, David</t>
  </si>
  <si>
    <t>02/23/2024</t>
  </si>
  <si>
    <t>2-174</t>
  </si>
  <si>
    <t>Yamitshi, Ngoy</t>
  </si>
  <si>
    <t>2-175</t>
  </si>
  <si>
    <t>Hanning, Troy</t>
  </si>
  <si>
    <t>07/04/2019</t>
  </si>
  <si>
    <t>2-176</t>
  </si>
  <si>
    <t>Oyola, Xavier</t>
  </si>
  <si>
    <t>2-177</t>
  </si>
  <si>
    <t>Guerrero Toquinto, Xavier</t>
  </si>
  <si>
    <t>2-178</t>
  </si>
  <si>
    <t>Husmann, Kelly</t>
  </si>
  <si>
    <t>2-179</t>
  </si>
  <si>
    <t>2-180</t>
  </si>
  <si>
    <t>2-181</t>
  </si>
  <si>
    <t>Wan, Andrew</t>
  </si>
  <si>
    <t>05/20/2017</t>
  </si>
  <si>
    <t>2-182</t>
  </si>
  <si>
    <t>Walker, Bryan Kwadjo</t>
  </si>
  <si>
    <t>2-183</t>
  </si>
  <si>
    <t>Martinez, Albert</t>
  </si>
  <si>
    <t>04/07/2025</t>
  </si>
  <si>
    <t>2-184</t>
  </si>
  <si>
    <t>Duran, Isabella</t>
  </si>
  <si>
    <t>2-185</t>
  </si>
  <si>
    <t>spears, todd</t>
  </si>
  <si>
    <t>11/02/2018</t>
  </si>
  <si>
    <t>2-186</t>
  </si>
  <si>
    <t>Brandon, Henry</t>
  </si>
  <si>
    <t>03/27/2019</t>
  </si>
  <si>
    <t>2-187</t>
  </si>
  <si>
    <t>Martinez, Matthew</t>
  </si>
  <si>
    <t>2-188</t>
  </si>
  <si>
    <t>Serrano, Amanda</t>
  </si>
  <si>
    <t>2-189</t>
  </si>
  <si>
    <t>2-190</t>
  </si>
  <si>
    <t>11/05/2025</t>
  </si>
  <si>
    <t>2-191</t>
  </si>
  <si>
    <t>Lindquist, Mary</t>
  </si>
  <si>
    <t>03/01/2010</t>
  </si>
  <si>
    <t>2-192</t>
  </si>
  <si>
    <t>Ball, Akai</t>
  </si>
  <si>
    <t>2-201</t>
  </si>
  <si>
    <t>Quezada Cruz, Guadalupe</t>
  </si>
  <si>
    <t>09/10/2024</t>
  </si>
  <si>
    <t>2-202</t>
  </si>
  <si>
    <t>Kasian, Jomerisa</t>
  </si>
  <si>
    <t>04/09/2021</t>
  </si>
  <si>
    <t>2-203</t>
  </si>
  <si>
    <t>Oakland, Benjamin</t>
  </si>
  <si>
    <t>2-204</t>
  </si>
  <si>
    <t>11/30/2025</t>
  </si>
  <si>
    <t>2-205</t>
  </si>
  <si>
    <t>ameda, Abdilwahed</t>
  </si>
  <si>
    <t>2-206</t>
  </si>
  <si>
    <t>Soltero, Suzette</t>
  </si>
  <si>
    <t>10/02/2023</t>
  </si>
  <si>
    <t>2-207</t>
  </si>
  <si>
    <t>Tabaha, Jennifer</t>
  </si>
  <si>
    <t>01/08/2021</t>
  </si>
  <si>
    <t>2-208</t>
  </si>
  <si>
    <t>Lane, Zachary</t>
  </si>
  <si>
    <t>06/02/2023</t>
  </si>
  <si>
    <t>2-209</t>
  </si>
  <si>
    <t>2-210</t>
  </si>
  <si>
    <t>2-211</t>
  </si>
  <si>
    <t>Minick, Rachel</t>
  </si>
  <si>
    <t>2-212</t>
  </si>
  <si>
    <t>Whittington, Kevin</t>
  </si>
  <si>
    <t>03/30/2024</t>
  </si>
  <si>
    <t>03/27/2026</t>
  </si>
  <si>
    <t>2-213</t>
  </si>
  <si>
    <t>Williams, Quinton</t>
  </si>
  <si>
    <t>03/29/2022</t>
  </si>
  <si>
    <t>2-214</t>
  </si>
  <si>
    <t>Palakonda, Sai Krishna</t>
  </si>
  <si>
    <t>2-215</t>
  </si>
  <si>
    <t>Hogberg, Benjamin</t>
  </si>
  <si>
    <t>2-216</t>
  </si>
  <si>
    <t>Marks, Laura</t>
  </si>
  <si>
    <t>08/28/2009</t>
  </si>
  <si>
    <t>2-217</t>
  </si>
  <si>
    <t>Miller, Gracelyn</t>
  </si>
  <si>
    <t>01/14/2022</t>
  </si>
  <si>
    <t>2-218</t>
  </si>
  <si>
    <t>qubadi, Gul Rahman</t>
  </si>
  <si>
    <t>2-219</t>
  </si>
  <si>
    <t>Gantt, Danielle</t>
  </si>
  <si>
    <t>2-220</t>
  </si>
  <si>
    <t>2-221</t>
  </si>
  <si>
    <t>2-222</t>
  </si>
  <si>
    <t>Alrawi, Wameedhalahmed</t>
  </si>
  <si>
    <t>2-223</t>
  </si>
  <si>
    <t>2-224</t>
  </si>
  <si>
    <t>2-225</t>
  </si>
  <si>
    <t>02/18/2026</t>
  </si>
  <si>
    <t>2-226</t>
  </si>
  <si>
    <t>Bushanam, Nalini</t>
  </si>
  <si>
    <t>2-227</t>
  </si>
  <si>
    <t>2-228</t>
  </si>
  <si>
    <t>2-229</t>
  </si>
  <si>
    <t>Huslloimea, Navi</t>
  </si>
  <si>
    <t>11/01/2019</t>
  </si>
  <si>
    <t>2-230</t>
  </si>
  <si>
    <t>Quain, Cecilia</t>
  </si>
  <si>
    <t>09/16/2024</t>
  </si>
  <si>
    <t>2-231</t>
  </si>
  <si>
    <t>Ives, Andrea</t>
  </si>
  <si>
    <t>08/03/2019</t>
  </si>
  <si>
    <t>10/21/2025</t>
  </si>
  <si>
    <t>2-232</t>
  </si>
  <si>
    <t>Cipolla, Taylor</t>
  </si>
  <si>
    <t>2-233</t>
  </si>
  <si>
    <t>2-234</t>
  </si>
  <si>
    <t>Salyi, Garrett</t>
  </si>
  <si>
    <t>2-235</t>
  </si>
  <si>
    <t>Perez, Gerardo</t>
  </si>
  <si>
    <t>03/05/2021</t>
  </si>
  <si>
    <t>2-236</t>
  </si>
  <si>
    <t>Dowell, Tamiko</t>
  </si>
  <si>
    <t>2-237</t>
  </si>
  <si>
    <t>2-238</t>
  </si>
  <si>
    <t>Johnson, Colin</t>
  </si>
  <si>
    <t>2-239</t>
  </si>
  <si>
    <t>Abolghasemibizaki, mehran</t>
  </si>
  <si>
    <t>2-240</t>
  </si>
  <si>
    <t>Haggerty, Caden</t>
  </si>
  <si>
    <t>2-241</t>
  </si>
  <si>
    <t>Traill, Cameron</t>
  </si>
  <si>
    <t>2-242</t>
  </si>
  <si>
    <t>Weiss, Daphne</t>
  </si>
  <si>
    <t>2-243</t>
  </si>
  <si>
    <t>Alhazmi, Sharifa</t>
  </si>
  <si>
    <t>07/03/2025</t>
  </si>
  <si>
    <t>2-244</t>
  </si>
  <si>
    <t>2-245</t>
  </si>
  <si>
    <t>Bell, Ryan</t>
  </si>
  <si>
    <t>2-246</t>
  </si>
  <si>
    <t>2-247</t>
  </si>
  <si>
    <t>Knutsson, Alijah</t>
  </si>
  <si>
    <t>2-248</t>
  </si>
  <si>
    <t>2-249</t>
  </si>
  <si>
    <t>Jones, Keshia</t>
  </si>
  <si>
    <t>06/17/2026</t>
  </si>
  <si>
    <t>2-250</t>
  </si>
  <si>
    <t>McDonald, Ryan</t>
  </si>
  <si>
    <t>04/04/2023</t>
  </si>
  <si>
    <t>2-251</t>
  </si>
  <si>
    <t>Stringer, Michael</t>
  </si>
  <si>
    <t>12/30/2022</t>
  </si>
  <si>
    <t>2-252</t>
  </si>
  <si>
    <t>08/05/2025</t>
  </si>
  <si>
    <t>2-253</t>
  </si>
  <si>
    <t>Williams, Kaylyn</t>
  </si>
  <si>
    <t>2-254</t>
  </si>
  <si>
    <t>2-255</t>
  </si>
  <si>
    <t>Stoffel, Tiffany</t>
  </si>
  <si>
    <t>2-256</t>
  </si>
  <si>
    <t>2-257</t>
  </si>
  <si>
    <t>Blundell, Bailey</t>
  </si>
  <si>
    <t>06/11/2024</t>
  </si>
  <si>
    <t>2-258</t>
  </si>
  <si>
    <t>Brandon, Summer</t>
  </si>
  <si>
    <t>2-259</t>
  </si>
  <si>
    <t>Martinez, Sophia</t>
  </si>
  <si>
    <t>09/27/2023</t>
  </si>
  <si>
    <t>2-260</t>
  </si>
  <si>
    <t>Hudson, Brian</t>
  </si>
  <si>
    <t>2-261</t>
  </si>
  <si>
    <t>ordiway, sean</t>
  </si>
  <si>
    <t>2-262</t>
  </si>
  <si>
    <t>Clayton, Ryan</t>
  </si>
  <si>
    <t>2-263</t>
  </si>
  <si>
    <t>nelson, shaylee</t>
  </si>
  <si>
    <t>05/30/2023</t>
  </si>
  <si>
    <t>2-264</t>
  </si>
  <si>
    <t>Cash, April</t>
  </si>
  <si>
    <t>2-265</t>
  </si>
  <si>
    <t>2-266</t>
  </si>
  <si>
    <t>2-267</t>
  </si>
  <si>
    <t>2-268</t>
  </si>
  <si>
    <t>Ayan, Alyssa</t>
  </si>
  <si>
    <t>2-269</t>
  </si>
  <si>
    <t>Donaldson, Steven</t>
  </si>
  <si>
    <t>2-270</t>
  </si>
  <si>
    <t>Watkins III, Todd</t>
  </si>
  <si>
    <t>12/15/2025</t>
  </si>
  <si>
    <t>2-271</t>
  </si>
  <si>
    <t>2-272</t>
  </si>
  <si>
    <t>Stone, Kevin</t>
  </si>
  <si>
    <t>2-273</t>
  </si>
  <si>
    <t>Hills, Tim</t>
  </si>
  <si>
    <t>12/09/2017</t>
  </si>
  <si>
    <t>2-274</t>
  </si>
  <si>
    <t>01/27/2026</t>
  </si>
  <si>
    <t>2-275</t>
  </si>
  <si>
    <t>2-276</t>
  </si>
  <si>
    <t>Zamudio, Sydnie</t>
  </si>
  <si>
    <t>2-277</t>
  </si>
  <si>
    <t>2-278</t>
  </si>
  <si>
    <t>Berg, James</t>
  </si>
  <si>
    <t>2-279</t>
  </si>
  <si>
    <t>10/07/2025</t>
  </si>
  <si>
    <t>2-280</t>
  </si>
  <si>
    <t>Crain, Darrell</t>
  </si>
  <si>
    <t>01/23/2024</t>
  </si>
  <si>
    <t>2-281</t>
  </si>
  <si>
    <t>KIMBLE, ARTHUR</t>
  </si>
  <si>
    <t>2-282</t>
  </si>
  <si>
    <t>MARCHESE, DAVID</t>
  </si>
  <si>
    <t>2-283</t>
  </si>
  <si>
    <t>Teague, Jeffrey</t>
  </si>
  <si>
    <t>04/23/2024</t>
  </si>
  <si>
    <t>2-284</t>
  </si>
  <si>
    <t>Mccutchan, Emma</t>
  </si>
  <si>
    <t>03/20/2026</t>
  </si>
  <si>
    <t>2-285</t>
  </si>
  <si>
    <t>2-286</t>
  </si>
  <si>
    <t>Rethman, Jason</t>
  </si>
  <si>
    <t>03/23/2001</t>
  </si>
  <si>
    <t>2-287</t>
  </si>
  <si>
    <t>Jundi, Fadi</t>
  </si>
  <si>
    <t>08/03/2014</t>
  </si>
  <si>
    <t>2-288</t>
  </si>
  <si>
    <t>2-289</t>
  </si>
  <si>
    <t>Stanton, Michelle</t>
  </si>
  <si>
    <t>2-290</t>
  </si>
  <si>
    <t>2-291</t>
  </si>
  <si>
    <t>Nieves Martinez, Irvin</t>
  </si>
  <si>
    <t>09/20/2023</t>
  </si>
  <si>
    <t>2-292</t>
  </si>
  <si>
    <t>John, EJ</t>
  </si>
  <si>
    <t>02/05/2021</t>
  </si>
  <si>
    <t>2-309</t>
  </si>
  <si>
    <t>Kreeger, Maria</t>
  </si>
  <si>
    <t>08/10/2024</t>
  </si>
  <si>
    <t>2-310</t>
  </si>
  <si>
    <t>Gutierrez, Christopher</t>
  </si>
  <si>
    <t>11/20/2021</t>
  </si>
  <si>
    <t>2-311</t>
  </si>
  <si>
    <t>Stahl, Faith</t>
  </si>
  <si>
    <t>2-312</t>
  </si>
  <si>
    <t>Longmire, Corey</t>
  </si>
  <si>
    <t>04/18/2023</t>
  </si>
  <si>
    <t>04/22/2025</t>
  </si>
  <si>
    <t>2-313</t>
  </si>
  <si>
    <t>Torgerson, Dylan</t>
  </si>
  <si>
    <t>04/11/2023</t>
  </si>
  <si>
    <t>2-314</t>
  </si>
  <si>
    <t>Jacques, Michael</t>
  </si>
  <si>
    <t>08/24/2016</t>
  </si>
  <si>
    <t>2-315</t>
  </si>
  <si>
    <t>07/23/2025</t>
  </si>
  <si>
    <t>2-316</t>
  </si>
  <si>
    <t>Aguilar, Edna</t>
  </si>
  <si>
    <t>2-318</t>
  </si>
  <si>
    <t>Paulive, Stephanie</t>
  </si>
  <si>
    <t>08/17/2023</t>
  </si>
  <si>
    <t>2-319</t>
  </si>
  <si>
    <t>2-322</t>
  </si>
  <si>
    <t>Carrero, Daniel</t>
  </si>
  <si>
    <t>04/17/2025</t>
  </si>
  <si>
    <t>04/17/2026</t>
  </si>
  <si>
    <t>2-323</t>
  </si>
  <si>
    <t>Huffman, Paul</t>
  </si>
  <si>
    <t>2-325</t>
  </si>
  <si>
    <t>Reboca, Taitum</t>
  </si>
  <si>
    <t>2-326</t>
  </si>
  <si>
    <t>2-327</t>
  </si>
  <si>
    <t>03/25/2026</t>
  </si>
  <si>
    <t>2-328</t>
  </si>
  <si>
    <t>Tyus, Toni</t>
  </si>
  <si>
    <t>04/04/2022</t>
  </si>
  <si>
    <t>2-329</t>
  </si>
  <si>
    <t>Smith, Brittany</t>
  </si>
  <si>
    <t>2-330</t>
  </si>
  <si>
    <t>Pelayo, Benjamin</t>
  </si>
  <si>
    <t>08/21/2021</t>
  </si>
  <si>
    <t>2-331</t>
  </si>
  <si>
    <t>2-332</t>
  </si>
  <si>
    <t>Kirwan, Kiara</t>
  </si>
  <si>
    <t>03/15/2023</t>
  </si>
  <si>
    <t>2-334</t>
  </si>
  <si>
    <t>Mendoza, Cedric</t>
  </si>
  <si>
    <t>07/22/2024</t>
  </si>
  <si>
    <t>2-335</t>
  </si>
  <si>
    <t>Bustamante, Enrique</t>
  </si>
  <si>
    <t>05/11/2024</t>
  </si>
  <si>
    <t>2-338</t>
  </si>
  <si>
    <t>2-339</t>
  </si>
  <si>
    <t>2-341</t>
  </si>
  <si>
    <t>De leon, Marlene</t>
  </si>
  <si>
    <t>2-342</t>
  </si>
  <si>
    <t>Wilson, Wanda</t>
  </si>
  <si>
    <t>10/10/2019</t>
  </si>
  <si>
    <t>2-343</t>
  </si>
  <si>
    <t>2-344</t>
  </si>
  <si>
    <t>Winston, Deontre</t>
  </si>
  <si>
    <t>06/08/2024</t>
  </si>
  <si>
    <t>2-345</t>
  </si>
  <si>
    <t>Scott, William</t>
  </si>
  <si>
    <t>04/05/2021</t>
  </si>
  <si>
    <t>2-346</t>
  </si>
  <si>
    <t>Schuler, Bryce</t>
  </si>
  <si>
    <t>11/18/2018</t>
  </si>
  <si>
    <t>2-347</t>
  </si>
  <si>
    <t>2-348</t>
  </si>
  <si>
    <t>Abaalkhail, Abdulaziz</t>
  </si>
  <si>
    <t>01/09/2026</t>
  </si>
  <si>
    <t>2-353</t>
  </si>
  <si>
    <t>2-354</t>
  </si>
  <si>
    <t>09/11/2025</t>
  </si>
  <si>
    <t>2-355</t>
  </si>
  <si>
    <t>Abbott, Paula</t>
  </si>
  <si>
    <t>05/30/2024</t>
  </si>
  <si>
    <t>2-356</t>
  </si>
  <si>
    <t>2-357</t>
  </si>
  <si>
    <t>2-358</t>
  </si>
  <si>
    <t>2-359</t>
  </si>
  <si>
    <t>A Bross, Branden</t>
  </si>
  <si>
    <t>2-360</t>
  </si>
  <si>
    <t>Baldwin, Nicole</t>
  </si>
  <si>
    <t>2-369</t>
  </si>
  <si>
    <t>Moss, Shyama</t>
  </si>
  <si>
    <t>2-370</t>
  </si>
  <si>
    <t>Johnson, Stephanie</t>
  </si>
  <si>
    <t>2-371</t>
  </si>
  <si>
    <t>Smith, Jordan</t>
  </si>
  <si>
    <t>2-372</t>
  </si>
  <si>
    <t>2-373</t>
  </si>
  <si>
    <t>Mendoza, Denise</t>
  </si>
  <si>
    <t>2-374</t>
  </si>
  <si>
    <t>2-375</t>
  </si>
  <si>
    <t>King, Caleb</t>
  </si>
  <si>
    <t>03/10/2023</t>
  </si>
  <si>
    <t>04/07/2026</t>
  </si>
  <si>
    <t>2-376</t>
  </si>
  <si>
    <t>Parham, Jelani</t>
  </si>
  <si>
    <t>04/21/2023</t>
  </si>
  <si>
    <t>2-377</t>
  </si>
  <si>
    <t>08/09/2025</t>
  </si>
  <si>
    <t>2-378</t>
  </si>
  <si>
    <t>Riddle, Alexander</t>
  </si>
  <si>
    <t>08/07/2023</t>
  </si>
  <si>
    <t>2-379</t>
  </si>
  <si>
    <t>2-380</t>
  </si>
  <si>
    <t>2-381</t>
  </si>
  <si>
    <t>Usher, Heather</t>
  </si>
  <si>
    <t>2-382</t>
  </si>
  <si>
    <t>Passow, Chase</t>
  </si>
  <si>
    <t>02/24/2024</t>
  </si>
  <si>
    <t>2-383</t>
  </si>
  <si>
    <t>2-384</t>
  </si>
  <si>
    <t>2-385</t>
  </si>
  <si>
    <t>2-386</t>
  </si>
  <si>
    <t>Utz, Avery</t>
  </si>
  <si>
    <t>11/08/2023</t>
  </si>
  <si>
    <t>2-387</t>
  </si>
  <si>
    <t>Williams, Elijah</t>
  </si>
  <si>
    <t>2-388</t>
  </si>
  <si>
    <t>Grayson, Grant</t>
  </si>
  <si>
    <t>06/20/2016</t>
  </si>
  <si>
    <t>2-389</t>
  </si>
  <si>
    <t>Ocasio, Ryan</t>
  </si>
  <si>
    <t>2-390</t>
  </si>
  <si>
    <t>Alfred, Noah</t>
  </si>
  <si>
    <t>2-391</t>
  </si>
  <si>
    <t>Mares, Yarithza</t>
  </si>
  <si>
    <t>2-392</t>
  </si>
  <si>
    <t>Totals:</t>
  </si>
  <si>
    <t>†</t>
  </si>
  <si>
    <t>Tax Details</t>
  </si>
  <si>
    <t>Strada Apartments</t>
  </si>
  <si>
    <t>No</t>
  </si>
  <si>
    <t>MULTIFAMILY CASH FLOW</t>
  </si>
  <si>
    <t>INCOME</t>
  </si>
  <si>
    <t>Potential Rental Revenue</t>
  </si>
  <si>
    <t>Loss To Lease</t>
  </si>
  <si>
    <t>Scheduled Base Rental Revenue</t>
  </si>
  <si>
    <t>Other Income</t>
  </si>
  <si>
    <t>Potential Gross Income</t>
  </si>
  <si>
    <t>Minus: Vacancy</t>
  </si>
  <si>
    <t>Minus: Credit Loss</t>
  </si>
  <si>
    <t>Minus: Model Unit</t>
  </si>
  <si>
    <t>Minus: Concessions Initial Lease Up</t>
  </si>
  <si>
    <t>Minus: Concessions Ongoing</t>
  </si>
  <si>
    <t>Effective Gross Income</t>
  </si>
  <si>
    <t>OPERATING EXPENSES</t>
  </si>
  <si>
    <t>Total Operating Expenses</t>
  </si>
  <si>
    <t>Operating Expenses % EGR</t>
  </si>
  <si>
    <t>Real Estate Taxes %/EGR</t>
  </si>
  <si>
    <t>Net Operating Income</t>
  </si>
  <si>
    <t>Payroll</t>
  </si>
  <si>
    <t>Employee Units</t>
  </si>
  <si>
    <t>Marketing</t>
  </si>
  <si>
    <t>General &amp; Admin.</t>
  </si>
  <si>
    <t>Managed WiFi</t>
  </si>
  <si>
    <t>Landscaping/Grounds</t>
  </si>
  <si>
    <t>Make-ready</t>
  </si>
  <si>
    <t>Repairs &amp; Maint.</t>
  </si>
  <si>
    <t>Trash Expense</t>
  </si>
  <si>
    <t>Security/Life Safety</t>
  </si>
  <si>
    <t>Utilities</t>
  </si>
  <si>
    <t>Insurance</t>
  </si>
  <si>
    <t>Replacement Reserves</t>
  </si>
  <si>
    <t>Misc #2</t>
  </si>
  <si>
    <t>RE Taxes</t>
  </si>
  <si>
    <t>Management Fee</t>
  </si>
  <si>
    <t>IRE In-Place 
NOI Definition</t>
  </si>
  <si>
    <t>$ Gross</t>
  </si>
  <si>
    <t>In Place</t>
  </si>
  <si>
    <t>Rent/Occ Unit</t>
  </si>
  <si>
    <t>Capped benchmark rate of 4.50%</t>
  </si>
  <si>
    <t>Parcel 1</t>
  </si>
  <si>
    <t>Parcel 2</t>
  </si>
  <si>
    <t>701 W Grove Pkwy Tempe, AZ 85283</t>
  </si>
  <si>
    <t>7250 S Kyrene Rd Tempe, AZ 85283</t>
  </si>
  <si>
    <t>301-90-007B</t>
  </si>
  <si>
    <t>301-90-007A</t>
  </si>
  <si>
    <t>Address</t>
  </si>
  <si>
    <t>Parcel #</t>
  </si>
  <si>
    <t>Tax</t>
  </si>
  <si>
    <t>At Close Renovations</t>
  </si>
  <si>
    <t>06/30 Renovations</t>
  </si>
  <si>
    <t>IRE Assumed Renovations</t>
  </si>
  <si>
    <t>Total Renovations</t>
  </si>
  <si>
    <t>Total Units</t>
  </si>
  <si>
    <t xml:space="preserve">Renovation Schedule </t>
  </si>
  <si>
    <t>Units Renovated</t>
  </si>
  <si>
    <t>Non-Renovated Units Remaining</t>
  </si>
  <si>
    <t xml:space="preserve">Non-Renovated Units  </t>
  </si>
  <si>
    <t xml:space="preserve">Mid-Renovated Units  </t>
  </si>
  <si>
    <t>Completed per month</t>
  </si>
  <si>
    <t>Renovation Start</t>
  </si>
  <si>
    <t>09/30/2025</t>
  </si>
  <si>
    <t>08/31/2025</t>
  </si>
  <si>
    <t xml:space="preserve">      4012.000 - Discounts/Concessions</t>
  </si>
  <si>
    <t>Parameters: Properties: - all subproperties-; Show All Unit Designations or Filter by: ALL; Subjournals: ALL; Sort by: Unit; Report Type: Details + Summary; Exclude Formers?: Yes; Show Unit Rent as: Market Rent; Hide all PII Data?: No</t>
  </si>
  <si>
    <t>CARES</t>
  </si>
  <si>
    <t>08/03/2026</t>
  </si>
  <si>
    <t>07/27/2026</t>
  </si>
  <si>
    <t>Wendy, FNU</t>
  </si>
  <si>
    <t>07/10/2026</t>
  </si>
  <si>
    <t>Belyeu, Akelya</t>
  </si>
  <si>
    <t>09/17/2026</t>
  </si>
  <si>
    <t>Rodriguez, David</t>
  </si>
  <si>
    <t>09/18/2026</t>
  </si>
  <si>
    <t>08/23/2025</t>
  </si>
  <si>
    <t>08/24/2026</t>
  </si>
  <si>
    <t>Contreras, Brooklynn</t>
  </si>
  <si>
    <t>08/13/2026</t>
  </si>
  <si>
    <t>08/10/2026</t>
  </si>
  <si>
    <t>Ramirez, Guillermo</t>
  </si>
  <si>
    <t>08/27/2026</t>
  </si>
  <si>
    <t>Tuttle, Gianah</t>
  </si>
  <si>
    <t>07/13/2026</t>
  </si>
  <si>
    <t>Cochran, Matthew</t>
  </si>
  <si>
    <t>07/01/2026</t>
  </si>
  <si>
    <t>09/02/2026</t>
  </si>
  <si>
    <t>11/15/2025</t>
  </si>
  <si>
    <t>07/06/2026</t>
  </si>
  <si>
    <t>Javier, Ejay</t>
  </si>
  <si>
    <t>07/28/2026</t>
  </si>
  <si>
    <t>Chavez Mora, Jeremy</t>
  </si>
  <si>
    <t>09/04/2026</t>
  </si>
  <si>
    <t>08/27/2025</t>
  </si>
  <si>
    <t>Munoz, Savannah</t>
  </si>
  <si>
    <t>07/16/2025</t>
  </si>
  <si>
    <t>07/15/2026</t>
  </si>
  <si>
    <t>09/21/2026</t>
  </si>
  <si>
    <t>Gsell, Rory</t>
  </si>
  <si>
    <t>Reyes, Dimitrius</t>
  </si>
  <si>
    <t>08/05/2026</t>
  </si>
  <si>
    <t>08/02/2025</t>
  </si>
  <si>
    <t>Jones, Sade</t>
  </si>
  <si>
    <t>07/12/2025</t>
  </si>
  <si>
    <t>Stevenson, DeAvion</t>
  </si>
  <si>
    <t>Wicks, Catherine</t>
  </si>
  <si>
    <t>10/16/2026</t>
  </si>
  <si>
    <t>09/27/2025</t>
  </si>
  <si>
    <t>09/28/2026</t>
  </si>
  <si>
    <t>williams, rashine</t>
  </si>
  <si>
    <t>10/12/2026</t>
  </si>
  <si>
    <t>Galaviz cano, Mario</t>
  </si>
  <si>
    <t>Apartment Life Inc, *</t>
  </si>
  <si>
    <t>06/30/2026</t>
  </si>
  <si>
    <t>Solorio, Jeremiah</t>
  </si>
  <si>
    <t>09/29/2026</t>
  </si>
  <si>
    <t>Pasam, RenukaReddy</t>
  </si>
  <si>
    <t>Gandhi, dhruv</t>
  </si>
  <si>
    <t>01/19/2026</t>
  </si>
  <si>
    <t>Bourashed, Sandra</t>
  </si>
  <si>
    <t>09/15/2026</t>
  </si>
  <si>
    <t>Terlesky, Trinity</t>
  </si>
  <si>
    <t>Kasani, Ram susheel goud</t>
  </si>
  <si>
    <t>08/17/2026</t>
  </si>
  <si>
    <t>Flanders, Bailey</t>
  </si>
  <si>
    <t>08/07/2026</t>
  </si>
  <si>
    <t>Schoff, Jordan</t>
  </si>
  <si>
    <t>07/14/2026</t>
  </si>
  <si>
    <t>07/09/2025</t>
  </si>
  <si>
    <t>10/02/2026</t>
  </si>
  <si>
    <t>Embolo Mambe Siewe, melissa</t>
  </si>
  <si>
    <t>09/10/2026</t>
  </si>
  <si>
    <t>09/07/2026</t>
  </si>
  <si>
    <t>Keovorabouth, Sierra</t>
  </si>
  <si>
    <t>08/20/2025</t>
  </si>
  <si>
    <t>08/21/2026</t>
  </si>
  <si>
    <t>07/22/2026</t>
  </si>
  <si>
    <t>Dean, Aubri</t>
  </si>
  <si>
    <t>09/01/2026</t>
  </si>
  <si>
    <t>Gemar, Tiffany</t>
  </si>
  <si>
    <t>Stoczanskyj, Mark</t>
  </si>
  <si>
    <t>Estrada- EMP, Jennifer</t>
  </si>
  <si>
    <t>08/16/2025</t>
  </si>
  <si>
    <t>Owolabi, Mistura</t>
  </si>
  <si>
    <t>08/14/2026</t>
  </si>
  <si>
    <t>Valenzuela, Stephen</t>
  </si>
  <si>
    <t>07/17/2026</t>
  </si>
  <si>
    <t>07/29/2026</t>
  </si>
  <si>
    <t>Liu, Wen</t>
  </si>
  <si>
    <t>Karampudi, Jayavardhan</t>
  </si>
  <si>
    <t>09/09/2025</t>
  </si>
  <si>
    <t>09/08/2026</t>
  </si>
  <si>
    <t>Beeler, Elyse</t>
  </si>
  <si>
    <t>07/24/2026</t>
  </si>
  <si>
    <t>Todechine, Marcus</t>
  </si>
  <si>
    <t>08/25/2026</t>
  </si>
  <si>
    <t>Hemphill, Leticia</t>
  </si>
  <si>
    <t>10/14/2026</t>
  </si>
  <si>
    <t>08/12/2026</t>
  </si>
  <si>
    <t>Nocum, Kainoa</t>
  </si>
  <si>
    <t>Antelmi, Gabriella</t>
  </si>
  <si>
    <t>Faris, Maranda</t>
  </si>
  <si>
    <t>Trantham, Gabriel</t>
  </si>
  <si>
    <t>09/20/2025</t>
  </si>
  <si>
    <t>10/19/2026</t>
  </si>
  <si>
    <t>07/04/2025</t>
  </si>
  <si>
    <t>07/03/2026</t>
  </si>
  <si>
    <t>Mayinga, Gemima</t>
  </si>
  <si>
    <t>08/11/2026</t>
  </si>
  <si>
    <t>Olson, Alex</t>
  </si>
  <si>
    <t>Dolan, Sophia</t>
  </si>
  <si>
    <t>Andrade Buford, Gabriel</t>
  </si>
  <si>
    <t>kibathi, pauline</t>
  </si>
  <si>
    <t>Valdez, Christian</t>
  </si>
  <si>
    <t>09/23/2025</t>
  </si>
  <si>
    <t>Silva, Raul</t>
  </si>
  <si>
    <t>Mergist, Adrian</t>
  </si>
  <si>
    <t>Parsons, Megan</t>
  </si>
  <si>
    <t>johnson, Matthew</t>
  </si>
  <si>
    <t>09/24/2026</t>
  </si>
  <si>
    <t>10/31/2025</t>
  </si>
  <si>
    <t>Carrasco, Daniel</t>
  </si>
  <si>
    <t>Angliss, Sarah</t>
  </si>
  <si>
    <t>07/21/2026</t>
  </si>
  <si>
    <t>Webb, Joseph</t>
  </si>
  <si>
    <t>09/11/2026</t>
  </si>
  <si>
    <t>08/07/2025</t>
  </si>
  <si>
    <t>08/06/2026</t>
  </si>
  <si>
    <t>Lamb, Jakwon</t>
  </si>
  <si>
    <t>09/16/2026</t>
  </si>
  <si>
    <t>Updated</t>
  </si>
  <si>
    <t>3Q 2025</t>
  </si>
  <si>
    <t>3Q 2025 Concessions</t>
  </si>
  <si>
    <t>July</t>
  </si>
  <si>
    <t xml:space="preserve">August </t>
  </si>
  <si>
    <t>September</t>
  </si>
  <si>
    <t>as of 09/30/2025</t>
  </si>
  <si>
    <t>4Q 2025</t>
  </si>
  <si>
    <t>31893</t>
  </si>
  <si>
    <t>42745</t>
  </si>
  <si>
    <t>Uribe, Bryan Alejandro</t>
  </si>
  <si>
    <t>bryan.2911@hotmail.com</t>
  </si>
  <si>
    <t>12/22/2025</t>
  </si>
  <si>
    <t>12/31/2025</t>
  </si>
  <si>
    <t>Oct</t>
  </si>
  <si>
    <t>Nov</t>
  </si>
  <si>
    <t>Dec</t>
  </si>
  <si>
    <t>CONC/SPECL</t>
  </si>
  <si>
    <t>Preis, Taryn</t>
  </si>
  <si>
    <t>12/10/2025</t>
  </si>
  <si>
    <t>03/09/2027</t>
  </si>
  <si>
    <t>Engelman, Jessica</t>
  </si>
  <si>
    <t>12/01/2026</t>
  </si>
  <si>
    <t>12/27/2025</t>
  </si>
  <si>
    <t>12/28/2026</t>
  </si>
  <si>
    <t>10/04/2025</t>
  </si>
  <si>
    <t>10/05/2026</t>
  </si>
  <si>
    <t>Esquerra, Tyson</t>
  </si>
  <si>
    <t>01/26/2027</t>
  </si>
  <si>
    <t>01/29/2027</t>
  </si>
  <si>
    <t>Yaptangco, Jayden</t>
  </si>
  <si>
    <t>Gutierrez Cordova, Jessica</t>
  </si>
  <si>
    <t>12/23/2025</t>
  </si>
  <si>
    <t>01/22/2027</t>
  </si>
  <si>
    <t>Mehta, Sammy</t>
  </si>
  <si>
    <t>Mackay, Riley</t>
  </si>
  <si>
    <t>11/12/2026</t>
  </si>
  <si>
    <t>11/16/2026</t>
  </si>
  <si>
    <t>10/10/2025</t>
  </si>
  <si>
    <t>10/09/2026</t>
  </si>
  <si>
    <t>10/25/2025</t>
  </si>
  <si>
    <t>Yeh, Chin</t>
  </si>
  <si>
    <t>03/22/2027</t>
  </si>
  <si>
    <t>Reyes, Daniel</t>
  </si>
  <si>
    <t>12/15/2026</t>
  </si>
  <si>
    <t>oso, Jonathan</t>
  </si>
  <si>
    <t>11/20/2025</t>
  </si>
  <si>
    <t>11/19/2026</t>
  </si>
  <si>
    <t>05/25/2026</t>
  </si>
  <si>
    <t>Lerma, Jenna</t>
  </si>
  <si>
    <t>12/04/2026</t>
  </si>
  <si>
    <t>11/02/2026</t>
  </si>
  <si>
    <t>12/18/2025</t>
  </si>
  <si>
    <t>Basinger, Bridget</t>
  </si>
  <si>
    <t>10/26/2026</t>
  </si>
  <si>
    <t>Bartley, Ella</t>
  </si>
  <si>
    <t>Cedillos, Sylvanna</t>
  </si>
  <si>
    <t>12/06/2025</t>
  </si>
  <si>
    <t>12/07/2026</t>
  </si>
  <si>
    <t>Lopez - EMP, Moises</t>
  </si>
  <si>
    <t>11/29/2025</t>
  </si>
  <si>
    <t>11/19/2025</t>
  </si>
  <si>
    <t>11/23/2026</t>
  </si>
  <si>
    <t>11/09/2026</t>
  </si>
  <si>
    <t>Albedaiwi, Omar</t>
  </si>
  <si>
    <t>11/27/2026</t>
  </si>
  <si>
    <t>Dielman, Amanda</t>
  </si>
  <si>
    <t>01/14/2027</t>
  </si>
  <si>
    <t>12/21/2026</t>
  </si>
  <si>
    <t>Dhahran, Mohammad</t>
  </si>
  <si>
    <t>11/22/2025</t>
  </si>
  <si>
    <t>Frederick, Cameron</t>
  </si>
  <si>
    <t>10/01/2026</t>
  </si>
  <si>
    <t>01/04/2027</t>
  </si>
  <si>
    <t>Reed, Kiara</t>
  </si>
  <si>
    <t>12/18/2026</t>
  </si>
  <si>
    <t>Bravo, Brittany</t>
  </si>
  <si>
    <t>12/04/2025</t>
  </si>
  <si>
    <t>Shin, Vanessa</t>
  </si>
  <si>
    <t>Mickelson, David</t>
  </si>
  <si>
    <t>12/03/2026</t>
  </si>
  <si>
    <t>Galaviz, Jesus</t>
  </si>
  <si>
    <t>12/11/2026</t>
  </si>
  <si>
    <t>11/13/2026</t>
  </si>
  <si>
    <t>09/14/2026</t>
  </si>
  <si>
    <t>01/12/2026</t>
  </si>
  <si>
    <t>Ornelas*, Eco</t>
  </si>
  <si>
    <t>12/20/2025</t>
  </si>
  <si>
    <t>Johnston, Brandon</t>
  </si>
  <si>
    <t>11/03/2026</t>
  </si>
  <si>
    <t>Ponce, Sergio</t>
  </si>
  <si>
    <t>Calloway, Jaleya</t>
  </si>
  <si>
    <t>12/02/2026</t>
  </si>
  <si>
    <t>02/25/2026</t>
  </si>
  <si>
    <t>Sanderson, Kristen</t>
  </si>
  <si>
    <t>Garcia, Juan</t>
  </si>
  <si>
    <t>12/08/2025</t>
  </si>
  <si>
    <t>12/08/2026</t>
  </si>
  <si>
    <t>12/10/2026</t>
  </si>
  <si>
    <t>Muckenhirn, Meganne</t>
  </si>
  <si>
    <t>02/18/2027</t>
  </si>
  <si>
    <t>10/18/2025</t>
  </si>
  <si>
    <t>Lines, Cambria</t>
  </si>
  <si>
    <t>Pena, Emma</t>
  </si>
  <si>
    <t>01/25/2027</t>
  </si>
  <si>
    <t>01/24/2026</t>
  </si>
  <si>
    <t>Dawson, Dion</t>
  </si>
  <si>
    <t>03/25/2027</t>
  </si>
  <si>
    <t>12/09/2026</t>
  </si>
  <si>
    <t>mathews, david</t>
  </si>
  <si>
    <t>Pittario, Aurora</t>
  </si>
  <si>
    <t>Rudolph, Audrey</t>
  </si>
  <si>
    <t>12/29/2025</t>
  </si>
  <si>
    <t>10/22/2025</t>
  </si>
  <si>
    <t>10/20/2026</t>
  </si>
  <si>
    <t>Mohammadi, Fatima</t>
  </si>
  <si>
    <t>Mcconkey, Tea</t>
  </si>
  <si>
    <t>01/28/2027</t>
  </si>
  <si>
    <t>Bell, Maggie</t>
  </si>
  <si>
    <t>Williams, Savon</t>
  </si>
  <si>
    <t>12/17/2026</t>
  </si>
  <si>
    <t>12/13/2025</t>
  </si>
  <si>
    <t>12/14/2026</t>
  </si>
  <si>
    <t>Yamamoto, Isabela</t>
  </si>
  <si>
    <t>10/21/2026</t>
  </si>
  <si>
    <t>Villegas Castro, Damaris</t>
  </si>
  <si>
    <t>12/29/2026</t>
  </si>
  <si>
    <t>Barnett, Rory</t>
  </si>
  <si>
    <t>verdugo, salvador</t>
  </si>
  <si>
    <t>11/08/2025</t>
  </si>
  <si>
    <t xml:space="preserve">      6273.000 - Keys &amp; Locks</t>
  </si>
  <si>
    <t>(prcdng yr to base)</t>
  </si>
  <si>
    <t>(prcdng yr to 2nd prcdng)</t>
  </si>
  <si>
    <t>YYYY-U/W</t>
  </si>
  <si>
    <t>YYYY-YYYY</t>
  </si>
  <si>
    <t>Variance</t>
  </si>
  <si>
    <t xml:space="preserve">      Laundry/Vending Income</t>
  </si>
  <si>
    <r>
      <t xml:space="preserve">Notes and  Assumptions: </t>
    </r>
    <r>
      <rPr>
        <i/>
        <sz val="9"/>
        <rFont val="Arial"/>
        <family val="2"/>
      </rPr>
      <t>Years above will roll, always showing a 3yr sequential history.  Comments from the most recent NOI Adjustment Worksheet should be carried forward to Operating Statement</t>
    </r>
  </si>
  <si>
    <r>
      <t xml:space="preserve">Analysis Report.  Year-over-year variances (either higher or lower) must be explained and noted for the following: </t>
    </r>
    <r>
      <rPr>
        <b/>
        <i/>
        <sz val="9"/>
        <rFont val="Arial"/>
        <family val="2"/>
      </rPr>
      <t>&gt;20% DSCR change, &gt;20% EGI/Total Operating Expenses or Total Capital</t>
    </r>
  </si>
  <si>
    <t>Items.  Quarterly variance comments may be necessary if the loan is on the Watch List.</t>
  </si>
  <si>
    <t>Income: Comments</t>
  </si>
  <si>
    <t>Expense: Comments</t>
  </si>
  <si>
    <t>Capital Items: Comments</t>
  </si>
  <si>
    <t>DSCR: Comments</t>
  </si>
  <si>
    <t>Annualized T12</t>
  </si>
  <si>
    <t>Annualized T6</t>
  </si>
  <si>
    <t>Annualized T3</t>
  </si>
  <si>
    <t>T12 ROLLUP</t>
  </si>
  <si>
    <t>Lender Calc</t>
  </si>
  <si>
    <t>as of 12/31/2025</t>
  </si>
  <si>
    <t>TTM</t>
  </si>
  <si>
    <t>as of 03/31/2026</t>
  </si>
  <si>
    <t>* Debt Yield: (NCF/Debt Balance)</t>
  </si>
  <si>
    <t>DY TEST</t>
  </si>
  <si>
    <t>Location: Strada</t>
  </si>
  <si>
    <t>Knightvest Management LLC</t>
  </si>
  <si>
    <t>03/31/2026</t>
  </si>
  <si>
    <t>01/31/2026</t>
  </si>
  <si>
    <t>02/28/2026</t>
  </si>
  <si>
    <t xml:space="preserve">      6055.100 - Utilities-Property Internet</t>
  </si>
  <si>
    <t xml:space="preserve">      6090.100 - Telephone Internet</t>
  </si>
  <si>
    <t>05/15/2026 03:30 PM</t>
  </si>
  <si>
    <t>As of Date: 03/31/2026</t>
  </si>
  <si>
    <t>Jou-Zanfack, Carine</t>
  </si>
  <si>
    <t>01/13/2027</t>
  </si>
  <si>
    <t>02/21/2026</t>
  </si>
  <si>
    <t>03/01/2027</t>
  </si>
  <si>
    <t>Applicant</t>
  </si>
  <si>
    <t>Gargiulo, Timothy</t>
  </si>
  <si>
    <t>04/01/2027</t>
  </si>
  <si>
    <t>Murphey, Hunter</t>
  </si>
  <si>
    <t>01/18/2027</t>
  </si>
  <si>
    <t>Soto, Alejandro</t>
  </si>
  <si>
    <t>Whitmore, Roger</t>
  </si>
  <si>
    <t>06/01/2027</t>
  </si>
  <si>
    <t>01/21/2027</t>
  </si>
  <si>
    <t>Chaira, Sarah</t>
  </si>
  <si>
    <t>02/23/2026</t>
  </si>
  <si>
    <t>05/24/2027</t>
  </si>
  <si>
    <t>Killingsworth, micheal</t>
  </si>
  <si>
    <t>04/23/2026</t>
  </si>
  <si>
    <t>Pending renewal</t>
  </si>
  <si>
    <t>04/05/2027</t>
  </si>
  <si>
    <t>03/08/2027</t>
  </si>
  <si>
    <t>Skalitzky, Rick</t>
  </si>
  <si>
    <t>06/01/2026</t>
  </si>
  <si>
    <t>Ruiz, Claudia</t>
  </si>
  <si>
    <t>01/08/2026</t>
  </si>
  <si>
    <t>01/06/2027</t>
  </si>
  <si>
    <t>Banford, Karen</t>
  </si>
  <si>
    <t>01/15/2027</t>
  </si>
  <si>
    <t>03/29/2027</t>
  </si>
  <si>
    <t>03/05/2026</t>
  </si>
  <si>
    <t>Riley, Evan</t>
  </si>
  <si>
    <t>Sullins, Zachary</t>
  </si>
  <si>
    <t>02/26/2027</t>
  </si>
  <si>
    <t>Gil Bon, Yeshillari</t>
  </si>
  <si>
    <t>08/20/2026</t>
  </si>
  <si>
    <t>Hartsfield, Immanuel</t>
  </si>
  <si>
    <t>03/15/2027</t>
  </si>
  <si>
    <t>02/14/2026</t>
  </si>
  <si>
    <t>02/15/2027</t>
  </si>
  <si>
    <t>03/17/2027</t>
  </si>
  <si>
    <t>Villalta - EMP, Nikki</t>
  </si>
  <si>
    <t>06/30/2027</t>
  </si>
  <si>
    <t>02/01/2027</t>
  </si>
  <si>
    <t>Stone, Zachary</t>
  </si>
  <si>
    <t>01/11/2027</t>
  </si>
  <si>
    <t>Harris, Alec</t>
  </si>
  <si>
    <t>Valencia Mora, Ivan</t>
  </si>
  <si>
    <t>03/19/2027</t>
  </si>
  <si>
    <t>Espinoza, Arianna</t>
  </si>
  <si>
    <t>Cortez, Sarah</t>
  </si>
  <si>
    <t>02/03/2026</t>
  </si>
  <si>
    <t>Lopez Gutierrez, Guadalupe</t>
  </si>
  <si>
    <t>02/26/2026</t>
  </si>
  <si>
    <t>02/25/2027</t>
  </si>
  <si>
    <t>Brockman, Kiersten</t>
  </si>
  <si>
    <t>Benton, Douglas</t>
  </si>
  <si>
    <t>01/15/2026</t>
  </si>
  <si>
    <t>Martinez, Manuel</t>
  </si>
  <si>
    <t>04/28/2027</t>
  </si>
  <si>
    <t>03/07/2026</t>
  </si>
  <si>
    <t>Pending resident</t>
  </si>
  <si>
    <t>04/23/2027</t>
  </si>
  <si>
    <t>Johnson, Heidi</t>
  </si>
  <si>
    <t>04/29/2027</t>
  </si>
  <si>
    <t>Dodd, Susanna</t>
  </si>
  <si>
    <t>Knab, Josephine</t>
  </si>
  <si>
    <t>Jenkins, Troy</t>
  </si>
  <si>
    <t>03/11/2026</t>
  </si>
  <si>
    <t>Hansen, Kaylee</t>
  </si>
  <si>
    <t>02/19/2027</t>
  </si>
  <si>
    <t>Goldman, Piper</t>
  </si>
  <si>
    <t>Young, Asiah</t>
  </si>
  <si>
    <t>Morales, Hector</t>
  </si>
  <si>
    <t>03/10/2027</t>
  </si>
  <si>
    <t>Reyes, James</t>
  </si>
  <si>
    <t>02/22/2027</t>
  </si>
  <si>
    <t>Coyle, Hayden</t>
  </si>
  <si>
    <t>03/30/2027</t>
  </si>
  <si>
    <t>Carstens, Caitlyn</t>
  </si>
  <si>
    <t>Thetford, William</t>
  </si>
  <si>
    <t>Nagy, Jacob</t>
  </si>
  <si>
    <t>05/05/2027</t>
  </si>
  <si>
    <t>01/03/2026</t>
  </si>
  <si>
    <t>03/11/2027</t>
  </si>
  <si>
    <t>Flake, Wyatt</t>
  </si>
  <si>
    <t>02/07/2026</t>
  </si>
  <si>
    <t>02/08/2027</t>
  </si>
  <si>
    <t>Price, Hailee</t>
  </si>
  <si>
    <t>Horton, Cody</t>
  </si>
  <si>
    <t>01/19/2027</t>
  </si>
  <si>
    <t>Spade, Eric</t>
  </si>
  <si>
    <t>Trujillo, Vanessa</t>
  </si>
  <si>
    <t>Bland, Terrence</t>
  </si>
  <si>
    <t>06/21/2027</t>
  </si>
  <si>
    <t>04/10/2026</t>
  </si>
  <si>
    <t>Wane, Adriane</t>
  </si>
  <si>
    <t>05/28/2027</t>
  </si>
  <si>
    <t>Rivera, Yazmyne</t>
  </si>
  <si>
    <t>Ray, Michael</t>
  </si>
  <si>
    <t>04/09/2027</t>
  </si>
  <si>
    <t>03/28/2026</t>
  </si>
  <si>
    <t>Jacobo- EMP, Jaled</t>
  </si>
  <si>
    <t>05/02/2026</t>
  </si>
  <si>
    <t>Cadena Miranda, Adriana</t>
  </si>
  <si>
    <t>Kvassay, John</t>
  </si>
  <si>
    <t>Admin/Down</t>
  </si>
  <si>
    <t>03/14/2026</t>
  </si>
  <si>
    <t>04/16/2027</t>
  </si>
  <si>
    <t>Martinez, Caitlyn</t>
  </si>
  <si>
    <t>03/03/2027</t>
  </si>
  <si>
    <t>Moreno, Shaw</t>
  </si>
  <si>
    <t>01/17/2026</t>
  </si>
  <si>
    <t>02/16/2027</t>
  </si>
  <si>
    <t>04/18/2026</t>
  </si>
  <si>
    <t>Harrison, Jalen</t>
  </si>
  <si>
    <t>04/30/2026</t>
  </si>
  <si>
    <t>Fleury, Lyndsee</t>
  </si>
  <si>
    <t>03/12/2027</t>
  </si>
  <si>
    <t>Aguirre, Jose</t>
  </si>
  <si>
    <t>03/26/2027</t>
  </si>
  <si>
    <t>Wingo-Tiller, Langston</t>
  </si>
  <si>
    <t>01/08/2027</t>
  </si>
  <si>
    <t>04/20/2026</t>
  </si>
  <si>
    <t>03/21/2026</t>
  </si>
  <si>
    <t>Pankonin, Robert</t>
  </si>
  <si>
    <t>02/05/2026</t>
  </si>
  <si>
    <t>05/22/2026</t>
  </si>
  <si>
    <t>01/10/2026</t>
  </si>
  <si>
    <t>Mcgowan, Thomas</t>
  </si>
  <si>
    <t>Zurn, Jared Michael</t>
  </si>
  <si>
    <t>04/13/2026</t>
  </si>
  <si>
    <t>Broadnax, Desmond</t>
  </si>
  <si>
    <t>05/03/2027</t>
  </si>
  <si>
    <t>Locke, Anthony</t>
  </si>
  <si>
    <t>--Historically generated Rent Roll Detail data may differ due to the following product functions (including but not limited to)-</t>
  </si>
  <si>
    <t xml:space="preserve">    · Back-dated move-ins/outs or apply dates</t>
  </si>
  <si>
    <t xml:space="preserve">    · Applicants transferred to another unit will appear in the new unit, not the old</t>
  </si>
  <si>
    <t xml:space="preserve">    · Cancelling notices to vacate or transfer</t>
  </si>
  <si>
    <t xml:space="preserve">    · Undoing move-ins/outs or transfers</t>
  </si>
  <si>
    <t>Note: This section consists of records for occupied and vacant units only. Vacant unit’s charges, credits and totals are not part of detail totals.</t>
  </si>
  <si>
    <t>Unit Type</t>
  </si>
  <si>
    <t>Monthly Rent</t>
  </si>
  <si>
    <t>Knightvest Management LLC - Strada
DELINQUENT AND PREPAID
FISCAL PERIOD 032026 AS OF 05/15/2026
05/15/2026 03:33 PM
Parameters: Report Type: Details Subproperties: - all subproperties- Subjournals: ALL Statuses to include: Current resident; Include delinquencies that equal NTV Credit? Yes;  Exclude transactions payable in arrears: No; Delinquency range 0 through 99999999; Aging Columns: Fiscal;  Filter type: ALL; Show Prepaid As Allocated: Yes; Include outstanding deposits: No; Hide all PII data: No; Delinquent Comments: Current only</t>
  </si>
  <si>
    <t>31939</t>
  </si>
  <si>
    <t>42841</t>
  </si>
  <si>
    <t>Stevenson, DeAvion Alicia</t>
  </si>
  <si>
    <t>(602)456-9286</t>
  </si>
  <si>
    <t>deavionstvn98@gmail.com</t>
  </si>
  <si>
    <t>31964</t>
  </si>
  <si>
    <t>42889</t>
  </si>
  <si>
    <t>Catherine Wicks</t>
  </si>
  <si>
    <t>(480)772-9296</t>
  </si>
  <si>
    <t>catherinem.wicks@gmail.com</t>
  </si>
  <si>
    <t>31926</t>
  </si>
  <si>
    <t>42816</t>
  </si>
  <si>
    <t>Pinder, John Timothy</t>
  </si>
  <si>
    <t>(602)247-0742</t>
  </si>
  <si>
    <t>john.t.pinder@outlook.com</t>
  </si>
  <si>
    <t>32132</t>
  </si>
  <si>
    <t>43199</t>
  </si>
  <si>
    <t xml:space="preserve">Spade, Eric </t>
  </si>
  <si>
    <t>(606) 401-8122</t>
  </si>
  <si>
    <t>eespade2@gmail.com</t>
  </si>
  <si>
    <t>32086</t>
  </si>
  <si>
    <t>43118</t>
  </si>
  <si>
    <t>(480) 720-1590</t>
  </si>
  <si>
    <t>dion.dawson16@gmail.com</t>
  </si>
  <si>
    <t>31695</t>
  </si>
  <si>
    <t>43053</t>
  </si>
  <si>
    <t>Traill, Cameron Rosser</t>
  </si>
  <si>
    <t>(209) 596-1519</t>
  </si>
  <si>
    <t>ctraill74@gmail.com</t>
  </si>
  <si>
    <t>TOTALS</t>
  </si>
  <si>
    <t>*  -- Resident is under eviction
† -- Balance due includes NSF transaction(s). Please refer to the appropriate ledger for more information
‡ -- Includes amounts that are 120+ days past due
§ -- Cash basis charge codes: Income account will match the AR account</t>
  </si>
  <si>
    <t>Concessions</t>
  </si>
  <si>
    <t>Delinquent Rents</t>
  </si>
  <si>
    <t>Annualized Rent Roll as of 3/31/2026 less delinquent rents 60+ days</t>
  </si>
  <si>
    <t>T12 ended 3/31/2026</t>
  </si>
  <si>
    <t>Greater of actual 2025 tax bill dated 5/18/2026 ($382.2K) and T12 ending 3/31/2026</t>
  </si>
  <si>
    <t>Greater of actual insurance premium from 6/28/2025-6/28/2026 ($130.4K)</t>
  </si>
  <si>
    <t>T3A total less T6A concessions + T6 special allowance</t>
  </si>
  <si>
    <t>7.00% DY beginning 6/9/2027</t>
  </si>
  <si>
    <t>Unit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</si>
</sst>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\-00\-0000"/>
    <numFmt numFmtId="165" formatCode="_(&quot;$&quot;* #,##0_);_(&quot;$&quot;* \(#,##0\);_(&quot;$&quot;* &quot;-&quot;??_);_(@_)"/>
    <numFmt numFmtId="166" formatCode="mm/dd/yy"/>
    <numFmt numFmtId="167" formatCode="mm/dd/yy_)"/>
    <numFmt numFmtId="168" formatCode="&quot;$&quot;#,##0"/>
    <numFmt numFmtId="169" formatCode="#,##0.00;\(#,##0.00\)"/>
    <numFmt numFmtId="170" formatCode="[$-1010409]General"/>
    <numFmt numFmtId="171" formatCode="_(* #,##0.00%;_(* \(#,##0.00\)%;_(* &quot;   -&quot;?_)"/>
    <numFmt numFmtId="172" formatCode="_(* &quot;$&quot;\ #,##0_);_(* &quot;$&quot;\ \(#,##0\);_(* &quot;&quot;&quot;$&quot;\ \ \-&quot;&quot;?_);_(@_)"/>
    <numFmt numFmtId="173" formatCode="_(#,##0.00\x;_(\(#,##0.00\)\x;_(&quot;   -&quot;?_)"/>
    <numFmt numFmtId="174" formatCode="_(* #,##0%;_(* \(#,##0\)%;_(* &quot;   -&quot;?_)"/>
    <numFmt numFmtId="175" formatCode="_(* #,##0.00\x;_(* \(#,##0.00\)\x;_(* &quot;   -&quot;?_)"/>
    <numFmt numFmtId="176" formatCode="[$-1010409]#,##0.00"/>
    <numFmt numFmtId="177" formatCode="0.0000"/>
    <numFmt numFmtId="178" formatCode="_(#,##0.000%;_(\(#,##0.000\)%;_(&quot;   -&quot;?_)"/>
    <numFmt numFmtId="179" formatCode="0.00\x;\ \(0.00\)\x"/>
    <numFmt numFmtId="180" formatCode="#,##0.0_);\(#,##0.0\)"/>
    <numFmt numFmtId="181" formatCode="&quot;$&quot;#,##0.00"/>
    <numFmt numFmtId="182" formatCode="&quot;YEAR&quot;\ 0#"/>
    <numFmt numFmtId="183" formatCode="[$-409]mmm\-yy;@"/>
    <numFmt numFmtId="184" formatCode="&quot;$&quot;#,##0_);\(&quot;$&quot;#,##0\);\-"/>
    <numFmt numFmtId="185" formatCode="&quot;Year &quot;#"/>
    <numFmt numFmtId="186" formatCode="##&quot; Units&quot;"/>
    <numFmt numFmtId="187" formatCode="0&quot; Units&quot;"/>
    <numFmt numFmtId="188" formatCode="0.00&quot;x&quot;"/>
  </numFmts>
  <fonts count="75">
    <font>
      <sz val="10"/>
      <name val="Arial"/>
    </font>
    <font>
      <sz val="10"/>
      <name val="Arial MT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u/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b/>
      <i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7"/>
      <name val="Sans-Serif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b/>
      <u val="singleAccounting"/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B050"/>
      <name val="Arial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sz val="10"/>
      <name val="Helvetica"/>
      <family val="2"/>
    </font>
    <font>
      <sz val="9"/>
      <color rgb="FF008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  <font>
      <sz val="9"/>
      <color indexed="8"/>
      <name val="Arial"/>
      <family val="2"/>
    </font>
    <font>
      <b/>
      <sz val="11"/>
      <color theme="0"/>
      <name val="Calibri"/>
      <family val="2"/>
    </font>
    <font>
      <sz val="11"/>
      <color rgb="FF3333FF"/>
      <name val="Calibri"/>
      <family val="2"/>
    </font>
    <font>
      <b/>
      <sz val="12"/>
      <name val="Calibri"/>
      <family val="2"/>
    </font>
    <font>
      <b/>
      <sz val="10"/>
      <color indexed="9"/>
      <name val="Arial"/>
      <family val="2"/>
    </font>
    <font>
      <u/>
      <sz val="10"/>
      <color theme="10"/>
      <name val="Arial"/>
      <family val="2"/>
    </font>
    <font>
      <b/>
      <sz val="9"/>
      <color rgb="FF000000"/>
      <name val="Arial"/>
      <family val="2"/>
    </font>
    <font>
      <sz val="11"/>
      <color rgb="FF0000FF"/>
      <name val="Calibri"/>
      <family val="2"/>
    </font>
    <font>
      <b/>
      <sz val="12"/>
      <name val="Sans-Serif"/>
      <family val="2"/>
    </font>
    <font>
      <sz val="5"/>
      <name val="Sans-Serif"/>
      <family val="2"/>
    </font>
    <font>
      <b/>
      <sz val="16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9"/>
      <name val="Arial"/>
      <family val="2"/>
    </font>
    <font>
      <u/>
      <sz val="10"/>
      <name val="Arial"/>
      <family val="2"/>
    </font>
    <font>
      <i/>
      <sz val="11"/>
      <name val="Calibri"/>
      <family val="2"/>
    </font>
    <font>
      <b/>
      <sz val="9"/>
      <color rgb="FF3333FF"/>
      <name val="Arial"/>
      <family val="2"/>
    </font>
    <font>
      <sz val="9"/>
      <color rgb="FF3333FF"/>
      <name val="Arial"/>
      <family val="2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b/>
      <sz val="8"/>
      <color rgb="FF3333FF"/>
      <name val="Arial"/>
      <family val="2"/>
    </font>
    <font>
      <b/>
      <sz val="10"/>
      <name val="Sans-Serif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9"/>
      <color rgb="FF008000"/>
      <name val="Arial"/>
      <family val="2"/>
    </font>
    <font>
      <b/>
      <sz val="8"/>
      <color rgb="FF008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1A7B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6C6"/>
        <bgColor indexed="64"/>
      </patternFill>
    </fill>
  </fills>
  <borders count="5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rgb="FFD3D3D3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37" fontId="1" fillId="0" borderId="0"/>
    <xf numFmtId="37" fontId="1" fillId="0" borderId="0"/>
    <xf numFmtId="0" fontId="10" fillId="0" borderId="0"/>
    <xf numFmtId="0" fontId="23" fillId="0" borderId="0"/>
    <xf numFmtId="0" fontId="10" fillId="0" borderId="0">
      <alignment wrapText="1"/>
    </xf>
    <xf numFmtId="0" fontId="27" fillId="0" borderId="0"/>
    <xf numFmtId="9" fontId="27" fillId="0" borderId="0" applyFont="0" applyFill="0" applyBorder="0" applyAlignment="0" applyProtection="0"/>
    <xf numFmtId="44" fontId="10" fillId="0" borderId="0" applyFont="0" applyFill="0" applyBorder="0" applyAlignment="0" applyProtection="0">
      <alignment wrapText="1"/>
    </xf>
    <xf numFmtId="0" fontId="51" fillId="0" borderId="0" applyNumberFormat="0" applyFill="0" applyBorder="0" applyAlignment="0" applyProtection="0"/>
  </cellStyleXfs>
  <cellXfs count="557">
    <xf numFmtId="0" fontId="0" fillId="0" borderId="0" xfId="0"/>
    <xf numFmtId="0" fontId="4" fillId="0" borderId="0" xfId="0" applyFont="1"/>
    <xf numFmtId="37" fontId="2" fillId="0" borderId="0" xfId="6" applyFont="1" applyAlignment="1">
      <alignment horizontal="centerContinuous"/>
    </xf>
    <xf numFmtId="37" fontId="3" fillId="0" borderId="0" xfId="7" applyFont="1" applyAlignment="1">
      <alignment horizontal="centerContinuous"/>
    </xf>
    <xf numFmtId="37" fontId="6" fillId="0" borderId="1" xfId="7" applyFont="1" applyBorder="1" applyAlignment="1">
      <alignment horizontal="left"/>
    </xf>
    <xf numFmtId="37" fontId="6" fillId="0" borderId="2" xfId="7" applyFont="1" applyBorder="1" applyAlignment="1">
      <alignment horizontal="left"/>
    </xf>
    <xf numFmtId="37" fontId="7" fillId="0" borderId="2" xfId="7" applyFont="1" applyBorder="1"/>
    <xf numFmtId="37" fontId="7" fillId="0" borderId="2" xfId="7" applyFont="1" applyBorder="1" applyAlignment="1">
      <alignment horizontal="right"/>
    </xf>
    <xf numFmtId="37" fontId="7" fillId="0" borderId="2" xfId="7" applyFont="1" applyBorder="1" applyAlignment="1">
      <alignment horizontal="center"/>
    </xf>
    <xf numFmtId="37" fontId="7" fillId="0" borderId="0" xfId="7" applyFont="1"/>
    <xf numFmtId="37" fontId="8" fillId="0" borderId="3" xfId="7" applyFont="1" applyBorder="1" applyAlignment="1">
      <alignment horizontal="left"/>
    </xf>
    <xf numFmtId="37" fontId="8" fillId="0" borderId="0" xfId="7" applyFont="1" applyAlignment="1">
      <alignment horizontal="left"/>
    </xf>
    <xf numFmtId="37" fontId="7" fillId="0" borderId="4" xfId="7" applyFont="1" applyBorder="1" applyAlignment="1">
      <alignment horizontal="center" wrapText="1"/>
    </xf>
    <xf numFmtId="37" fontId="7" fillId="0" borderId="5" xfId="7" applyFont="1" applyBorder="1"/>
    <xf numFmtId="37" fontId="7" fillId="0" borderId="0" xfId="7" applyFont="1" applyAlignment="1">
      <alignment horizontal="center" wrapText="1"/>
    </xf>
    <xf numFmtId="37" fontId="7" fillId="0" borderId="0" xfId="7" quotePrefix="1" applyFont="1" applyAlignment="1">
      <alignment horizontal="center"/>
    </xf>
    <xf numFmtId="37" fontId="9" fillId="0" borderId="3" xfId="7" applyFont="1" applyBorder="1" applyAlignment="1">
      <alignment horizontal="left"/>
    </xf>
    <xf numFmtId="37" fontId="9" fillId="0" borderId="0" xfId="7" applyFont="1" applyAlignment="1">
      <alignment horizontal="left"/>
    </xf>
    <xf numFmtId="44" fontId="9" fillId="0" borderId="6" xfId="3" applyFont="1" applyFill="1" applyBorder="1" applyAlignment="1">
      <alignment horizontal="right"/>
    </xf>
    <xf numFmtId="164" fontId="9" fillId="0" borderId="7" xfId="6" applyNumberFormat="1" applyFont="1" applyBorder="1" applyAlignment="1">
      <alignment horizontal="right"/>
    </xf>
    <xf numFmtId="5" fontId="9" fillId="0" borderId="7" xfId="6" applyNumberFormat="1" applyFont="1" applyBorder="1" applyAlignment="1">
      <alignment horizontal="center"/>
    </xf>
    <xf numFmtId="44" fontId="9" fillId="0" borderId="7" xfId="3" applyFont="1" applyFill="1" applyBorder="1" applyAlignment="1">
      <alignment horizontal="right"/>
    </xf>
    <xf numFmtId="10" fontId="9" fillId="0" borderId="7" xfId="5" applyNumberFormat="1" applyFont="1" applyBorder="1"/>
    <xf numFmtId="10" fontId="9" fillId="0" borderId="0" xfId="5" applyNumberFormat="1" applyFont="1" applyBorder="1"/>
    <xf numFmtId="37" fontId="9" fillId="0" borderId="0" xfId="7" applyFont="1"/>
    <xf numFmtId="37" fontId="9" fillId="0" borderId="3" xfId="7" quotePrefix="1" applyFont="1" applyBorder="1" applyAlignment="1">
      <alignment horizontal="left"/>
    </xf>
    <xf numFmtId="37" fontId="9" fillId="0" borderId="0" xfId="7" quotePrefix="1" applyFont="1" applyAlignment="1">
      <alignment horizontal="left"/>
    </xf>
    <xf numFmtId="37" fontId="8" fillId="0" borderId="8" xfId="7" applyFont="1" applyBorder="1" applyAlignment="1">
      <alignment horizontal="left"/>
    </xf>
    <xf numFmtId="37" fontId="8" fillId="0" borderId="9" xfId="7" applyFont="1" applyBorder="1" applyProtection="1">
      <protection locked="0"/>
    </xf>
    <xf numFmtId="37" fontId="9" fillId="0" borderId="9" xfId="7" applyFont="1" applyBorder="1"/>
    <xf numFmtId="37" fontId="9" fillId="0" borderId="10" xfId="7" applyFont="1" applyBorder="1"/>
    <xf numFmtId="37" fontId="9" fillId="0" borderId="3" xfId="7" applyFont="1" applyBorder="1"/>
    <xf numFmtId="38" fontId="9" fillId="0" borderId="8" xfId="1" applyNumberFormat="1" applyFont="1" applyFill="1" applyBorder="1" applyAlignment="1">
      <alignment horizontal="left"/>
    </xf>
    <xf numFmtId="37" fontId="8" fillId="0" borderId="10" xfId="7" applyFont="1" applyBorder="1"/>
    <xf numFmtId="37" fontId="8" fillId="0" borderId="9" xfId="7" applyFont="1" applyBorder="1"/>
    <xf numFmtId="37" fontId="8" fillId="0" borderId="0" xfId="7" applyFont="1"/>
    <xf numFmtId="37" fontId="9" fillId="0" borderId="8" xfId="6" applyFont="1" applyBorder="1" applyAlignment="1" applyProtection="1">
      <alignment horizontal="left"/>
      <protection locked="0"/>
    </xf>
    <xf numFmtId="37" fontId="8" fillId="0" borderId="7" xfId="7" applyFont="1" applyBorder="1"/>
    <xf numFmtId="37" fontId="9" fillId="0" borderId="3" xfId="6" applyFont="1" applyBorder="1" applyAlignment="1">
      <alignment horizontal="left"/>
    </xf>
    <xf numFmtId="37" fontId="9" fillId="0" borderId="0" xfId="6" applyFont="1" applyAlignment="1">
      <alignment horizontal="left"/>
    </xf>
    <xf numFmtId="37" fontId="9" fillId="0" borderId="7" xfId="7" applyFont="1" applyBorder="1" applyAlignment="1" applyProtection="1">
      <alignment horizontal="right"/>
      <protection locked="0"/>
    </xf>
    <xf numFmtId="37" fontId="8" fillId="0" borderId="10" xfId="6" applyFont="1" applyBorder="1" applyAlignment="1">
      <alignment horizontal="right"/>
    </xf>
    <xf numFmtId="37" fontId="11" fillId="0" borderId="11" xfId="6" applyFont="1" applyBorder="1" applyProtection="1">
      <protection locked="0"/>
    </xf>
    <xf numFmtId="1" fontId="8" fillId="0" borderId="0" xfId="6" applyNumberFormat="1" applyFont="1" applyAlignment="1" applyProtection="1">
      <alignment horizontal="right"/>
      <protection locked="0"/>
    </xf>
    <xf numFmtId="37" fontId="8" fillId="0" borderId="0" xfId="6" applyFont="1" applyProtection="1">
      <protection locked="0"/>
    </xf>
    <xf numFmtId="37" fontId="9" fillId="0" borderId="0" xfId="6" applyFont="1"/>
    <xf numFmtId="37" fontId="8" fillId="0" borderId="0" xfId="7" applyFont="1" applyProtection="1">
      <protection locked="0"/>
    </xf>
    <xf numFmtId="165" fontId="9" fillId="0" borderId="7" xfId="3" applyNumberFormat="1" applyFont="1" applyFill="1" applyBorder="1" applyAlignment="1">
      <alignment horizontal="right"/>
    </xf>
    <xf numFmtId="37" fontId="11" fillId="0" borderId="0" xfId="6" applyFont="1" applyProtection="1">
      <protection locked="0"/>
    </xf>
    <xf numFmtId="37" fontId="9" fillId="0" borderId="3" xfId="6" applyFont="1" applyBorder="1"/>
    <xf numFmtId="12" fontId="8" fillId="0" borderId="7" xfId="7" applyNumberFormat="1" applyFont="1" applyBorder="1" applyAlignment="1">
      <alignment horizontal="center"/>
    </xf>
    <xf numFmtId="1" fontId="8" fillId="0" borderId="6" xfId="7" applyNumberFormat="1" applyFont="1" applyBorder="1" applyAlignment="1">
      <alignment horizontal="center"/>
    </xf>
    <xf numFmtId="1" fontId="8" fillId="0" borderId="7" xfId="7" applyNumberFormat="1" applyFont="1" applyBorder="1" applyAlignment="1">
      <alignment horizontal="center"/>
    </xf>
    <xf numFmtId="1" fontId="8" fillId="0" borderId="12" xfId="7" applyNumberFormat="1" applyFont="1" applyBorder="1" applyAlignment="1">
      <alignment horizontal="center"/>
    </xf>
    <xf numFmtId="37" fontId="9" fillId="0" borderId="3" xfId="6" quotePrefix="1" applyFont="1" applyBorder="1" applyAlignment="1">
      <alignment horizontal="left"/>
    </xf>
    <xf numFmtId="37" fontId="9" fillId="0" borderId="0" xfId="6" quotePrefix="1" applyFont="1" applyAlignment="1">
      <alignment horizontal="left"/>
    </xf>
    <xf numFmtId="10" fontId="9" fillId="0" borderId="12" xfId="5" applyNumberFormat="1" applyFont="1" applyBorder="1"/>
    <xf numFmtId="164" fontId="9" fillId="0" borderId="12" xfId="6" applyNumberFormat="1" applyFont="1" applyBorder="1" applyAlignment="1">
      <alignment horizontal="right"/>
    </xf>
    <xf numFmtId="7" fontId="11" fillId="0" borderId="0" xfId="7" applyNumberFormat="1" applyFont="1"/>
    <xf numFmtId="7" fontId="9" fillId="0" borderId="0" xfId="7" applyNumberFormat="1" applyFont="1"/>
    <xf numFmtId="7" fontId="8" fillId="0" borderId="0" xfId="7" applyNumberFormat="1" applyFont="1"/>
    <xf numFmtId="37" fontId="9" fillId="0" borderId="13" xfId="7" applyFont="1" applyBorder="1"/>
    <xf numFmtId="37" fontId="9" fillId="0" borderId="14" xfId="7" applyFont="1" applyBorder="1"/>
    <xf numFmtId="37" fontId="11" fillId="0" borderId="14" xfId="7" applyFont="1" applyBorder="1" applyAlignment="1">
      <alignment horizontal="left"/>
    </xf>
    <xf numFmtId="166" fontId="8" fillId="0" borderId="14" xfId="7" applyNumberFormat="1" applyFont="1" applyBorder="1"/>
    <xf numFmtId="37" fontId="8" fillId="0" borderId="14" xfId="7" applyFont="1" applyBorder="1"/>
    <xf numFmtId="37" fontId="10" fillId="0" borderId="0" xfId="7" applyFont="1"/>
    <xf numFmtId="37" fontId="12" fillId="0" borderId="0" xfId="7" applyFont="1"/>
    <xf numFmtId="37" fontId="13" fillId="0" borderId="0" xfId="7" applyFont="1" applyAlignment="1">
      <alignment horizontal="center"/>
    </xf>
    <xf numFmtId="37" fontId="6" fillId="0" borderId="0" xfId="7" quotePrefix="1" applyFont="1" applyAlignment="1">
      <alignment horizontal="left"/>
    </xf>
    <xf numFmtId="37" fontId="14" fillId="0" borderId="0" xfId="7" applyFont="1" applyAlignment="1">
      <alignment horizontal="center"/>
    </xf>
    <xf numFmtId="37" fontId="12" fillId="0" borderId="0" xfId="7" quotePrefix="1" applyFont="1" applyAlignment="1">
      <alignment horizontal="right"/>
    </xf>
    <xf numFmtId="37" fontId="10" fillId="0" borderId="0" xfId="7" applyFont="1" applyAlignment="1">
      <alignment horizontal="left"/>
    </xf>
    <xf numFmtId="37" fontId="10" fillId="0" borderId="7" xfId="7" applyFont="1" applyBorder="1"/>
    <xf numFmtId="37" fontId="6" fillId="0" borderId="7" xfId="7" applyFont="1" applyBorder="1"/>
    <xf numFmtId="167" fontId="8" fillId="0" borderId="16" xfId="7" applyNumberFormat="1" applyFont="1" applyBorder="1" applyAlignment="1" applyProtection="1">
      <alignment horizontal="center"/>
      <protection locked="0"/>
    </xf>
    <xf numFmtId="1" fontId="12" fillId="0" borderId="6" xfId="7" applyNumberFormat="1" applyFont="1" applyBorder="1" applyAlignment="1">
      <alignment horizontal="center"/>
    </xf>
    <xf numFmtId="12" fontId="12" fillId="0" borderId="7" xfId="7" applyNumberFormat="1" applyFont="1" applyBorder="1" applyAlignment="1">
      <alignment horizontal="center"/>
    </xf>
    <xf numFmtId="1" fontId="12" fillId="0" borderId="7" xfId="7" applyNumberFormat="1" applyFont="1" applyBorder="1" applyAlignment="1">
      <alignment horizontal="center"/>
    </xf>
    <xf numFmtId="1" fontId="6" fillId="0" borderId="16" xfId="7" applyNumberFormat="1" applyFont="1" applyBorder="1" applyAlignment="1">
      <alignment horizontal="center"/>
    </xf>
    <xf numFmtId="37" fontId="10" fillId="0" borderId="0" xfId="6" applyFont="1"/>
    <xf numFmtId="37" fontId="10" fillId="0" borderId="0" xfId="7" quotePrefix="1" applyFont="1" applyAlignment="1">
      <alignment horizontal="left"/>
    </xf>
    <xf numFmtId="37" fontId="8" fillId="0" borderId="6" xfId="7" applyFont="1" applyBorder="1" applyAlignment="1">
      <alignment horizontal="center"/>
    </xf>
    <xf numFmtId="37" fontId="15" fillId="0" borderId="6" xfId="7" applyFont="1" applyBorder="1" applyAlignment="1">
      <alignment horizontal="center"/>
    </xf>
    <xf numFmtId="37" fontId="6" fillId="0" borderId="7" xfId="7" quotePrefix="1" applyFont="1" applyBorder="1" applyAlignment="1">
      <alignment horizontal="center"/>
    </xf>
    <xf numFmtId="7" fontId="10" fillId="0" borderId="7" xfId="2" applyNumberFormat="1" applyFont="1" applyFill="1" applyBorder="1" applyProtection="1">
      <protection locked="0"/>
    </xf>
    <xf numFmtId="7" fontId="10" fillId="0" borderId="7" xfId="7" applyNumberFormat="1" applyFont="1" applyBorder="1"/>
    <xf numFmtId="7" fontId="10" fillId="0" borderId="7" xfId="6" quotePrefix="1" applyNumberFormat="1" applyFont="1" applyBorder="1" applyAlignment="1">
      <alignment horizontal="right"/>
    </xf>
    <xf numFmtId="10" fontId="10" fillId="0" borderId="7" xfId="7" applyNumberFormat="1" applyFont="1" applyBorder="1"/>
    <xf numFmtId="37" fontId="16" fillId="0" borderId="0" xfId="7" applyFont="1" applyAlignment="1">
      <alignment horizontal="left"/>
    </xf>
    <xf numFmtId="37" fontId="11" fillId="0" borderId="0" xfId="7" applyFont="1" applyAlignment="1">
      <alignment horizontal="left"/>
    </xf>
    <xf numFmtId="37" fontId="17" fillId="0" borderId="0" xfId="7" applyFont="1" applyAlignment="1">
      <alignment horizontal="center"/>
    </xf>
    <xf numFmtId="7" fontId="10" fillId="2" borderId="7" xfId="2" applyNumberFormat="1" applyFont="1" applyFill="1" applyBorder="1" applyProtection="1">
      <protection locked="0"/>
    </xf>
    <xf numFmtId="7" fontId="10" fillId="2" borderId="7" xfId="7" applyNumberFormat="1" applyFont="1" applyFill="1" applyBorder="1"/>
    <xf numFmtId="7" fontId="10" fillId="2" borderId="7" xfId="6" quotePrefix="1" applyNumberFormat="1" applyFont="1" applyFill="1" applyBorder="1" applyAlignment="1">
      <alignment horizontal="right"/>
    </xf>
    <xf numFmtId="10" fontId="10" fillId="2" borderId="7" xfId="7" applyNumberFormat="1" applyFont="1" applyFill="1" applyBorder="1"/>
    <xf numFmtId="7" fontId="10" fillId="0" borderId="0" xfId="7" applyNumberFormat="1" applyFont="1"/>
    <xf numFmtId="7" fontId="10" fillId="0" borderId="0" xfId="6" quotePrefix="1" applyNumberFormat="1" applyFont="1" applyAlignment="1">
      <alignment horizontal="right"/>
    </xf>
    <xf numFmtId="10" fontId="10" fillId="0" borderId="0" xfId="7" applyNumberFormat="1" applyFont="1"/>
    <xf numFmtId="37" fontId="6" fillId="0" borderId="0" xfId="7" applyFont="1" applyAlignment="1">
      <alignment horizontal="left"/>
    </xf>
    <xf numFmtId="7" fontId="6" fillId="0" borderId="7" xfId="7" applyNumberFormat="1" applyFont="1" applyBorder="1"/>
    <xf numFmtId="7" fontId="6" fillId="0" borderId="7" xfId="6" quotePrefix="1" applyNumberFormat="1" applyFont="1" applyBorder="1" applyAlignment="1">
      <alignment horizontal="right"/>
    </xf>
    <xf numFmtId="5" fontId="8" fillId="0" borderId="0" xfId="7" applyNumberFormat="1" applyFont="1"/>
    <xf numFmtId="5" fontId="8" fillId="0" borderId="0" xfId="6" applyNumberFormat="1" applyFont="1" applyProtection="1">
      <protection locked="0"/>
    </xf>
    <xf numFmtId="10" fontId="10" fillId="0" borderId="11" xfId="7" applyNumberFormat="1" applyFont="1" applyBorder="1"/>
    <xf numFmtId="37" fontId="18" fillId="0" borderId="0" xfId="7" applyFont="1"/>
    <xf numFmtId="7" fontId="12" fillId="0" borderId="0" xfId="7" applyNumberFormat="1" applyFont="1"/>
    <xf numFmtId="5" fontId="12" fillId="0" borderId="0" xfId="7" applyNumberFormat="1" applyFont="1"/>
    <xf numFmtId="5" fontId="12" fillId="0" borderId="0" xfId="6" applyNumberFormat="1" applyFont="1" applyProtection="1">
      <protection locked="0"/>
    </xf>
    <xf numFmtId="5" fontId="12" fillId="0" borderId="0" xfId="7" quotePrefix="1" applyNumberFormat="1" applyFont="1" applyAlignment="1">
      <alignment horizontal="left"/>
    </xf>
    <xf numFmtId="37" fontId="10" fillId="0" borderId="0" xfId="6" applyFont="1" applyProtection="1">
      <protection locked="0"/>
    </xf>
    <xf numFmtId="7" fontId="10" fillId="0" borderId="7" xfId="7" applyNumberFormat="1" applyFont="1" applyBorder="1" applyAlignment="1" applyProtection="1">
      <alignment horizontal="right"/>
      <protection locked="0"/>
    </xf>
    <xf numFmtId="7" fontId="10" fillId="0" borderId="7" xfId="7" applyNumberFormat="1" applyFont="1" applyBorder="1" applyProtection="1">
      <protection locked="0"/>
    </xf>
    <xf numFmtId="7" fontId="10" fillId="0" borderId="7" xfId="4" applyNumberFormat="1" applyFont="1" applyFill="1" applyBorder="1" applyProtection="1">
      <protection locked="0"/>
    </xf>
    <xf numFmtId="5" fontId="6" fillId="0" borderId="0" xfId="7" applyNumberFormat="1" applyFont="1"/>
    <xf numFmtId="9" fontId="6" fillId="0" borderId="7" xfId="7" applyNumberFormat="1" applyFont="1" applyBorder="1"/>
    <xf numFmtId="9" fontId="6" fillId="0" borderId="7" xfId="6" quotePrefix="1" applyNumberFormat="1" applyFont="1" applyBorder="1" applyAlignment="1">
      <alignment horizontal="right"/>
    </xf>
    <xf numFmtId="42" fontId="6" fillId="0" borderId="7" xfId="4" applyFont="1" applyFill="1" applyBorder="1" applyProtection="1">
      <protection locked="0"/>
    </xf>
    <xf numFmtId="9" fontId="6" fillId="0" borderId="0" xfId="7" applyNumberFormat="1" applyFont="1"/>
    <xf numFmtId="37" fontId="6" fillId="0" borderId="0" xfId="7" applyFont="1"/>
    <xf numFmtId="7" fontId="6" fillId="0" borderId="7" xfId="4" applyNumberFormat="1" applyFont="1" applyBorder="1" applyProtection="1"/>
    <xf numFmtId="42" fontId="6" fillId="0" borderId="0" xfId="4" applyFont="1" applyBorder="1" applyProtection="1"/>
    <xf numFmtId="37" fontId="10" fillId="0" borderId="0" xfId="6" applyFont="1" applyAlignment="1">
      <alignment horizontal="left"/>
    </xf>
    <xf numFmtId="7" fontId="10" fillId="2" borderId="7" xfId="7" applyNumberFormat="1" applyFont="1" applyFill="1" applyBorder="1" applyProtection="1">
      <protection locked="0"/>
    </xf>
    <xf numFmtId="37" fontId="6" fillId="0" borderId="0" xfId="6" applyFont="1" applyAlignment="1">
      <alignment horizontal="left"/>
    </xf>
    <xf numFmtId="7" fontId="6" fillId="0" borderId="7" xfId="7" applyNumberFormat="1" applyFont="1" applyBorder="1" applyProtection="1">
      <protection locked="0"/>
    </xf>
    <xf numFmtId="7" fontId="11" fillId="0" borderId="9" xfId="6" applyNumberFormat="1" applyFont="1" applyBorder="1" applyAlignment="1" applyProtection="1">
      <alignment vertical="center"/>
      <protection locked="0"/>
    </xf>
    <xf numFmtId="7" fontId="6" fillId="0" borderId="9" xfId="7" applyNumberFormat="1" applyFont="1" applyBorder="1"/>
    <xf numFmtId="7" fontId="6" fillId="0" borderId="9" xfId="7" applyNumberFormat="1" applyFont="1" applyBorder="1" applyProtection="1">
      <protection locked="0"/>
    </xf>
    <xf numFmtId="37" fontId="19" fillId="0" borderId="0" xfId="7" applyFont="1" applyProtection="1">
      <protection locked="0"/>
    </xf>
    <xf numFmtId="7" fontId="6" fillId="0" borderId="0" xfId="7" applyNumberFormat="1" applyFont="1"/>
    <xf numFmtId="2" fontId="6" fillId="0" borderId="7" xfId="7" applyNumberFormat="1" applyFont="1" applyBorder="1"/>
    <xf numFmtId="2" fontId="10" fillId="0" borderId="0" xfId="7" applyNumberFormat="1" applyFont="1"/>
    <xf numFmtId="2" fontId="6" fillId="0" borderId="9" xfId="7" applyNumberFormat="1" applyFont="1" applyBorder="1"/>
    <xf numFmtId="2" fontId="6" fillId="0" borderId="11" xfId="7" applyNumberFormat="1" applyFont="1" applyBorder="1"/>
    <xf numFmtId="10" fontId="10" fillId="0" borderId="16" xfId="7" applyNumberFormat="1" applyFont="1" applyBorder="1"/>
    <xf numFmtId="37" fontId="6" fillId="0" borderId="17" xfId="7" quotePrefix="1" applyFont="1" applyBorder="1" applyAlignment="1">
      <alignment horizontal="left"/>
    </xf>
    <xf numFmtId="37" fontId="11" fillId="0" borderId="17" xfId="7" quotePrefix="1" applyFont="1" applyBorder="1" applyAlignment="1">
      <alignment horizontal="left"/>
    </xf>
    <xf numFmtId="37" fontId="10" fillId="0" borderId="17" xfId="7" applyFont="1" applyBorder="1"/>
    <xf numFmtId="37" fontId="9" fillId="0" borderId="0" xfId="7" applyFont="1" applyProtection="1">
      <protection locked="0"/>
    </xf>
    <xf numFmtId="7" fontId="6" fillId="0" borderId="11" xfId="7" applyNumberFormat="1" applyFont="1" applyBorder="1"/>
    <xf numFmtId="37" fontId="2" fillId="0" borderId="0" xfId="7" applyFont="1" applyAlignment="1">
      <alignment horizontal="centerContinuous"/>
    </xf>
    <xf numFmtId="10" fontId="0" fillId="0" borderId="0" xfId="0" applyNumberFormat="1"/>
    <xf numFmtId="10" fontId="6" fillId="0" borderId="9" xfId="7" applyNumberFormat="1" applyFont="1" applyBorder="1"/>
    <xf numFmtId="2" fontId="6" fillId="0" borderId="8" xfId="7" applyNumberFormat="1" applyFont="1" applyBorder="1"/>
    <xf numFmtId="10" fontId="6" fillId="0" borderId="9" xfId="5" applyNumberFormat="1" applyFont="1" applyBorder="1"/>
    <xf numFmtId="7" fontId="10" fillId="0" borderId="7" xfId="7" applyNumberFormat="1" applyFont="1" applyBorder="1" applyAlignment="1">
      <alignment horizontal="right"/>
    </xf>
    <xf numFmtId="7" fontId="6" fillId="0" borderId="11" xfId="7" applyNumberFormat="1" applyFont="1" applyBorder="1" applyAlignment="1">
      <alignment horizontal="right"/>
    </xf>
    <xf numFmtId="10" fontId="6" fillId="0" borderId="10" xfId="7" applyNumberFormat="1" applyFont="1" applyBorder="1" applyAlignment="1">
      <alignment horizontal="right"/>
    </xf>
    <xf numFmtId="0" fontId="25" fillId="0" borderId="0" xfId="10" applyFont="1" applyAlignment="1">
      <alignment vertical="top" wrapText="1"/>
    </xf>
    <xf numFmtId="0" fontId="10" fillId="0" borderId="0" xfId="10">
      <alignment wrapText="1"/>
    </xf>
    <xf numFmtId="0" fontId="24" fillId="0" borderId="18" xfId="10" applyFont="1" applyBorder="1" applyAlignment="1">
      <alignment horizontal="center" vertical="center" wrapText="1"/>
    </xf>
    <xf numFmtId="0" fontId="25" fillId="0" borderId="18" xfId="10" applyFont="1" applyBorder="1" applyAlignment="1">
      <alignment vertical="top" wrapText="1"/>
    </xf>
    <xf numFmtId="0" fontId="25" fillId="0" borderId="18" xfId="10" applyFont="1" applyBorder="1" applyAlignment="1">
      <alignment horizontal="center" vertical="top" wrapText="1"/>
    </xf>
    <xf numFmtId="0" fontId="25" fillId="0" borderId="18" xfId="10" applyFont="1" applyBorder="1" applyAlignment="1">
      <alignment horizontal="right" vertical="top" wrapText="1"/>
    </xf>
    <xf numFmtId="0" fontId="24" fillId="0" borderId="18" xfId="10" applyFont="1" applyBorder="1" applyAlignment="1">
      <alignment vertical="top" wrapText="1"/>
    </xf>
    <xf numFmtId="0" fontId="24" fillId="0" borderId="18" xfId="10" applyFont="1" applyBorder="1" applyAlignment="1">
      <alignment horizontal="right" vertical="top" wrapText="1"/>
    </xf>
    <xf numFmtId="170" fontId="25" fillId="0" borderId="18" xfId="10" applyNumberFormat="1" applyFont="1" applyBorder="1" applyAlignment="1">
      <alignment horizontal="center" vertical="top" wrapText="1"/>
    </xf>
    <xf numFmtId="170" fontId="24" fillId="0" borderId="18" xfId="10" applyNumberFormat="1" applyFont="1" applyBorder="1" applyAlignment="1">
      <alignment horizontal="center" vertical="top" wrapText="1"/>
    </xf>
    <xf numFmtId="0" fontId="24" fillId="0" borderId="18" xfId="10" applyFont="1" applyBorder="1" applyAlignment="1">
      <alignment horizontal="center" vertical="top" wrapText="1"/>
    </xf>
    <xf numFmtId="0" fontId="0" fillId="3" borderId="0" xfId="0" applyFill="1"/>
    <xf numFmtId="0" fontId="26" fillId="3" borderId="0" xfId="0" applyFont="1" applyFill="1" applyAlignment="1">
      <alignment horizontal="left"/>
    </xf>
    <xf numFmtId="0" fontId="0" fillId="0" borderId="0" xfId="0" applyAlignment="1">
      <alignment wrapText="1"/>
    </xf>
    <xf numFmtId="0" fontId="25" fillId="0" borderId="0" xfId="0" applyFont="1" applyAlignment="1">
      <alignment vertical="top" wrapText="1"/>
    </xf>
    <xf numFmtId="0" fontId="28" fillId="0" borderId="7" xfId="11" applyFont="1" applyBorder="1" applyAlignment="1">
      <alignment horizontal="center" vertical="center"/>
    </xf>
    <xf numFmtId="0" fontId="27" fillId="0" borderId="0" xfId="11" applyAlignment="1">
      <alignment vertical="center"/>
    </xf>
    <xf numFmtId="0" fontId="27" fillId="0" borderId="24" xfId="11" applyBorder="1" applyAlignment="1">
      <alignment vertical="center"/>
    </xf>
    <xf numFmtId="44" fontId="29" fillId="5" borderId="25" xfId="11" applyNumberFormat="1" applyFont="1" applyFill="1" applyBorder="1" applyAlignment="1">
      <alignment horizontal="centerContinuous" vertical="center"/>
    </xf>
    <xf numFmtId="44" fontId="29" fillId="5" borderId="22" xfId="11" applyNumberFormat="1" applyFont="1" applyFill="1" applyBorder="1" applyAlignment="1">
      <alignment horizontal="centerContinuous" vertical="center"/>
    </xf>
    <xf numFmtId="44" fontId="29" fillId="5" borderId="26" xfId="11" applyNumberFormat="1" applyFont="1" applyFill="1" applyBorder="1" applyAlignment="1">
      <alignment horizontal="centerContinuous" vertical="center"/>
    </xf>
    <xf numFmtId="44" fontId="29" fillId="5" borderId="27" xfId="11" applyNumberFormat="1" applyFont="1" applyFill="1" applyBorder="1" applyAlignment="1">
      <alignment horizontal="centerContinuous" vertical="center"/>
    </xf>
    <xf numFmtId="44" fontId="29" fillId="5" borderId="28" xfId="11" applyNumberFormat="1" applyFont="1" applyFill="1" applyBorder="1" applyAlignment="1">
      <alignment horizontal="centerContinuous" vertical="center"/>
    </xf>
    <xf numFmtId="0" fontId="30" fillId="5" borderId="29" xfId="11" applyFont="1" applyFill="1" applyBorder="1" applyAlignment="1">
      <alignment horizontal="left" vertical="center"/>
    </xf>
    <xf numFmtId="0" fontId="30" fillId="5" borderId="30" xfId="11" applyFont="1" applyFill="1" applyBorder="1" applyAlignment="1">
      <alignment horizontal="right" vertical="center"/>
    </xf>
    <xf numFmtId="0" fontId="30" fillId="5" borderId="0" xfId="11" applyFont="1" applyFill="1" applyAlignment="1">
      <alignment horizontal="right" vertical="center"/>
    </xf>
    <xf numFmtId="0" fontId="30" fillId="5" borderId="31" xfId="11" applyFont="1" applyFill="1" applyBorder="1" applyAlignment="1">
      <alignment horizontal="right" vertical="center"/>
    </xf>
    <xf numFmtId="0" fontId="30" fillId="5" borderId="32" xfId="11" applyFont="1" applyFill="1" applyBorder="1" applyAlignment="1">
      <alignment horizontal="right" vertical="center"/>
    </xf>
    <xf numFmtId="0" fontId="31" fillId="0" borderId="15" xfId="11" applyFont="1" applyBorder="1" applyAlignment="1">
      <alignment horizontal="left" vertical="center"/>
    </xf>
    <xf numFmtId="9" fontId="28" fillId="0" borderId="15" xfId="12" applyFont="1" applyBorder="1" applyAlignment="1">
      <alignment horizontal="right" vertical="center"/>
    </xf>
    <xf numFmtId="172" fontId="28" fillId="0" borderId="5" xfId="11" applyNumberFormat="1" applyFont="1" applyBorder="1" applyAlignment="1">
      <alignment horizontal="right" vertical="center"/>
    </xf>
    <xf numFmtId="173" fontId="28" fillId="0" borderId="24" xfId="11" applyNumberFormat="1" applyFont="1" applyBorder="1" applyAlignment="1">
      <alignment horizontal="right" vertical="center"/>
    </xf>
    <xf numFmtId="171" fontId="28" fillId="0" borderId="5" xfId="11" applyNumberFormat="1" applyFont="1" applyBorder="1" applyAlignment="1">
      <alignment horizontal="right" vertical="center"/>
    </xf>
    <xf numFmtId="172" fontId="31" fillId="0" borderId="5" xfId="12" applyNumberFormat="1" applyFont="1" applyBorder="1" applyAlignment="1">
      <alignment horizontal="right" vertical="center"/>
    </xf>
    <xf numFmtId="175" fontId="31" fillId="0" borderId="24" xfId="12" applyNumberFormat="1" applyFont="1" applyBorder="1" applyAlignment="1">
      <alignment horizontal="right" vertical="center"/>
    </xf>
    <xf numFmtId="174" fontId="28" fillId="0" borderId="5" xfId="11" applyNumberFormat="1" applyFont="1" applyBorder="1" applyAlignment="1">
      <alignment horizontal="right" vertical="center"/>
    </xf>
    <xf numFmtId="171" fontId="28" fillId="0" borderId="24" xfId="11" applyNumberFormat="1" applyFont="1" applyBorder="1" applyAlignment="1">
      <alignment horizontal="right" vertical="center"/>
    </xf>
    <xf numFmtId="0" fontId="32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9" fontId="34" fillId="0" borderId="15" xfId="12" applyFont="1" applyBorder="1" applyAlignment="1">
      <alignment horizontal="right" vertical="center"/>
    </xf>
    <xf numFmtId="172" fontId="34" fillId="0" borderId="5" xfId="11" applyNumberFormat="1" applyFont="1" applyBorder="1" applyAlignment="1">
      <alignment horizontal="right" vertical="center"/>
    </xf>
    <xf numFmtId="171" fontId="34" fillId="0" borderId="5" xfId="11" applyNumberFormat="1" applyFont="1" applyBorder="1" applyAlignment="1">
      <alignment horizontal="right" vertical="center"/>
    </xf>
    <xf numFmtId="173" fontId="34" fillId="0" borderId="5" xfId="11" applyNumberFormat="1" applyFont="1" applyBorder="1" applyAlignment="1">
      <alignment horizontal="right" vertical="center"/>
    </xf>
    <xf numFmtId="0" fontId="35" fillId="6" borderId="0" xfId="10" applyFont="1" applyFill="1" applyAlignment="1"/>
    <xf numFmtId="0" fontId="35" fillId="6" borderId="0" xfId="10" applyFont="1" applyFill="1" applyAlignment="1">
      <alignment horizontal="center"/>
    </xf>
    <xf numFmtId="0" fontId="35" fillId="6" borderId="35" xfId="10" applyFont="1" applyFill="1" applyBorder="1" applyAlignment="1">
      <alignment vertical="center"/>
    </xf>
    <xf numFmtId="17" fontId="35" fillId="6" borderId="17" xfId="10" applyNumberFormat="1" applyFont="1" applyFill="1" applyBorder="1" applyAlignment="1">
      <alignment horizontal="center" vertical="center"/>
    </xf>
    <xf numFmtId="0" fontId="23" fillId="0" borderId="0" xfId="10" applyFont="1" applyAlignment="1"/>
    <xf numFmtId="165" fontId="23" fillId="0" borderId="0" xfId="3" applyNumberFormat="1" applyFont="1" applyAlignment="1">
      <alignment horizontal="right"/>
    </xf>
    <xf numFmtId="10" fontId="23" fillId="0" borderId="0" xfId="10" applyNumberFormat="1" applyFont="1" applyAlignment="1">
      <alignment horizontal="center"/>
    </xf>
    <xf numFmtId="0" fontId="36" fillId="6" borderId="36" xfId="10" applyFont="1" applyFill="1" applyBorder="1" applyAlignment="1"/>
    <xf numFmtId="6" fontId="36" fillId="6" borderId="36" xfId="10" applyNumberFormat="1" applyFont="1" applyFill="1" applyBorder="1" applyAlignment="1"/>
    <xf numFmtId="165" fontId="28" fillId="0" borderId="6" xfId="3" applyNumberFormat="1" applyFont="1" applyFill="1" applyBorder="1" applyAlignment="1">
      <alignment horizontal="right"/>
    </xf>
    <xf numFmtId="44" fontId="28" fillId="0" borderId="7" xfId="3" applyFont="1" applyFill="1" applyBorder="1" applyAlignment="1">
      <alignment horizontal="right"/>
    </xf>
    <xf numFmtId="10" fontId="28" fillId="0" borderId="7" xfId="5" applyNumberFormat="1" applyFont="1" applyBorder="1"/>
    <xf numFmtId="37" fontId="28" fillId="0" borderId="7" xfId="7" applyFont="1" applyBorder="1" applyAlignment="1" applyProtection="1">
      <alignment horizontal="right"/>
      <protection locked="0"/>
    </xf>
    <xf numFmtId="14" fontId="31" fillId="0" borderId="7" xfId="6" applyNumberFormat="1" applyFont="1" applyBorder="1" applyAlignment="1">
      <alignment horizontal="right"/>
    </xf>
    <xf numFmtId="9" fontId="43" fillId="0" borderId="7" xfId="6" quotePrefix="1" applyNumberFormat="1" applyFont="1" applyBorder="1" applyAlignment="1">
      <alignment horizontal="right"/>
    </xf>
    <xf numFmtId="178" fontId="39" fillId="0" borderId="0" xfId="0" applyNumberFormat="1" applyFont="1"/>
    <xf numFmtId="42" fontId="41" fillId="0" borderId="0" xfId="4" applyFont="1" applyBorder="1" applyAlignment="1" applyProtection="1">
      <alignment horizontal="left"/>
    </xf>
    <xf numFmtId="0" fontId="10" fillId="0" borderId="0" xfId="0" applyFont="1"/>
    <xf numFmtId="0" fontId="45" fillId="7" borderId="19" xfId="0" applyFont="1" applyFill="1" applyBorder="1"/>
    <xf numFmtId="178" fontId="45" fillId="7" borderId="19" xfId="0" applyNumberFormat="1" applyFont="1" applyFill="1" applyBorder="1"/>
    <xf numFmtId="0" fontId="6" fillId="8" borderId="19" xfId="0" applyFont="1" applyFill="1" applyBorder="1"/>
    <xf numFmtId="6" fontId="6" fillId="8" borderId="19" xfId="0" applyNumberFormat="1" applyFont="1" applyFill="1" applyBorder="1"/>
    <xf numFmtId="0" fontId="6" fillId="0" borderId="0" xfId="0" applyFont="1"/>
    <xf numFmtId="6" fontId="6" fillId="0" borderId="0" xfId="0" applyNumberFormat="1" applyFont="1"/>
    <xf numFmtId="6" fontId="0" fillId="0" borderId="0" xfId="0" applyNumberFormat="1"/>
    <xf numFmtId="165" fontId="0" fillId="0" borderId="0" xfId="3" applyNumberFormat="1" applyFont="1"/>
    <xf numFmtId="179" fontId="10" fillId="0" borderId="0" xfId="0" applyNumberFormat="1" applyFont="1"/>
    <xf numFmtId="179" fontId="6" fillId="8" borderId="19" xfId="0" applyNumberFormat="1" applyFont="1" applyFill="1" applyBorder="1"/>
    <xf numFmtId="0" fontId="10" fillId="0" borderId="0" xfId="0" applyFont="1" applyAlignment="1">
      <alignment wrapText="1"/>
    </xf>
    <xf numFmtId="6" fontId="36" fillId="0" borderId="0" xfId="10" applyNumberFormat="1" applyFont="1" applyAlignment="1"/>
    <xf numFmtId="10" fontId="23" fillId="0" borderId="0" xfId="5" applyNumberFormat="1" applyFont="1" applyFill="1" applyBorder="1" applyAlignment="1">
      <alignment horizontal="center"/>
    </xf>
    <xf numFmtId="169" fontId="0" fillId="3" borderId="0" xfId="0" applyNumberFormat="1" applyFill="1"/>
    <xf numFmtId="0" fontId="24" fillId="0" borderId="0" xfId="0" applyFont="1" applyAlignment="1">
      <alignment horizontal="center" vertical="top" wrapText="1"/>
    </xf>
    <xf numFmtId="0" fontId="24" fillId="0" borderId="23" xfId="0" applyFont="1" applyBorder="1" applyAlignment="1">
      <alignment horizontal="left" vertical="top" wrapText="1"/>
    </xf>
    <xf numFmtId="171" fontId="31" fillId="0" borderId="5" xfId="12" applyNumberFormat="1" applyFont="1" applyBorder="1" applyAlignment="1">
      <alignment horizontal="right" vertical="center"/>
    </xf>
    <xf numFmtId="0" fontId="23" fillId="0" borderId="12" xfId="0" applyFont="1" applyBorder="1"/>
    <xf numFmtId="10" fontId="48" fillId="0" borderId="32" xfId="0" applyNumberFormat="1" applyFont="1" applyBorder="1"/>
    <xf numFmtId="10" fontId="0" fillId="0" borderId="32" xfId="0" applyNumberFormat="1" applyBorder="1"/>
    <xf numFmtId="168" fontId="23" fillId="0" borderId="32" xfId="0" applyNumberFormat="1" applyFont="1" applyBorder="1"/>
    <xf numFmtId="0" fontId="49" fillId="0" borderId="12" xfId="0" applyFont="1" applyBorder="1"/>
    <xf numFmtId="0" fontId="49" fillId="0" borderId="0" xfId="0" applyFont="1"/>
    <xf numFmtId="168" fontId="49" fillId="0" borderId="32" xfId="0" applyNumberFormat="1" applyFont="1" applyBorder="1"/>
    <xf numFmtId="0" fontId="23" fillId="0" borderId="20" xfId="0" applyFont="1" applyBorder="1"/>
    <xf numFmtId="0" fontId="0" fillId="0" borderId="19" xfId="0" applyBorder="1"/>
    <xf numFmtId="168" fontId="0" fillId="0" borderId="21" xfId="0" applyNumberFormat="1" applyBorder="1"/>
    <xf numFmtId="0" fontId="0" fillId="0" borderId="12" xfId="0" applyBorder="1"/>
    <xf numFmtId="0" fontId="0" fillId="0" borderId="32" xfId="0" applyBorder="1"/>
    <xf numFmtId="168" fontId="23" fillId="0" borderId="21" xfId="0" applyNumberFormat="1" applyFont="1" applyBorder="1"/>
    <xf numFmtId="0" fontId="0" fillId="0" borderId="25" xfId="0" applyBorder="1"/>
    <xf numFmtId="0" fontId="0" fillId="0" borderId="22" xfId="0" applyBorder="1"/>
    <xf numFmtId="0" fontId="0" fillId="0" borderId="28" xfId="0" applyBorder="1"/>
    <xf numFmtId="0" fontId="10" fillId="0" borderId="12" xfId="0" applyFont="1" applyBorder="1"/>
    <xf numFmtId="168" fontId="0" fillId="0" borderId="32" xfId="3" applyNumberFormat="1" applyFont="1" applyBorder="1"/>
    <xf numFmtId="10" fontId="0" fillId="0" borderId="32" xfId="5" applyNumberFormat="1" applyFont="1" applyBorder="1"/>
    <xf numFmtId="0" fontId="10" fillId="0" borderId="15" xfId="0" applyFont="1" applyBorder="1"/>
    <xf numFmtId="0" fontId="0" fillId="0" borderId="5" xfId="0" applyBorder="1"/>
    <xf numFmtId="168" fontId="0" fillId="0" borderId="24" xfId="0" applyNumberFormat="1" applyBorder="1"/>
    <xf numFmtId="7" fontId="6" fillId="0" borderId="19" xfId="7" applyNumberFormat="1" applyFont="1" applyBorder="1"/>
    <xf numFmtId="2" fontId="6" fillId="0" borderId="19" xfId="7" applyNumberFormat="1" applyFont="1" applyBorder="1"/>
    <xf numFmtId="0" fontId="50" fillId="0" borderId="23" xfId="0" applyFont="1" applyBorder="1" applyAlignment="1">
      <alignment horizontal="center" vertical="top" wrapText="1"/>
    </xf>
    <xf numFmtId="0" fontId="16" fillId="0" borderId="0" xfId="0" quotePrefix="1" applyFont="1"/>
    <xf numFmtId="4" fontId="6" fillId="0" borderId="0" xfId="0" applyNumberFormat="1" applyFont="1"/>
    <xf numFmtId="16" fontId="0" fillId="0" borderId="0" xfId="0" applyNumberFormat="1" applyAlignment="1">
      <alignment wrapText="1"/>
    </xf>
    <xf numFmtId="41" fontId="39" fillId="0" borderId="6" xfId="3" applyNumberFormat="1" applyFont="1" applyFill="1" applyBorder="1" applyAlignment="1">
      <alignment horizontal="right"/>
    </xf>
    <xf numFmtId="41" fontId="39" fillId="0" borderId="7" xfId="6" quotePrefix="1" applyNumberFormat="1" applyFont="1" applyBorder="1" applyAlignment="1">
      <alignment horizontal="right"/>
    </xf>
    <xf numFmtId="41" fontId="40" fillId="0" borderId="7" xfId="3" applyNumberFormat="1" applyFont="1" applyFill="1" applyBorder="1" applyAlignment="1">
      <alignment horizontal="right"/>
    </xf>
    <xf numFmtId="41" fontId="10" fillId="0" borderId="7" xfId="6" quotePrefix="1" applyNumberFormat="1" applyFont="1" applyBorder="1" applyAlignment="1">
      <alignment horizontal="right"/>
    </xf>
    <xf numFmtId="0" fontId="51" fillId="0" borderId="0" xfId="14"/>
    <xf numFmtId="41" fontId="41" fillId="0" borderId="6" xfId="3" applyNumberFormat="1" applyFont="1" applyFill="1" applyBorder="1" applyAlignment="1">
      <alignment horizontal="right"/>
    </xf>
    <xf numFmtId="14" fontId="52" fillId="0" borderId="7" xfId="7" applyNumberFormat="1" applyFont="1" applyBorder="1" applyAlignment="1">
      <alignment horizontal="center"/>
    </xf>
    <xf numFmtId="0" fontId="24" fillId="0" borderId="23" xfId="0" applyFont="1" applyBorder="1" applyAlignment="1">
      <alignment horizontal="center" vertical="top" wrapText="1"/>
    </xf>
    <xf numFmtId="0" fontId="24" fillId="0" borderId="23" xfId="0" applyFont="1" applyBorder="1" applyAlignment="1">
      <alignment horizontal="right" vertical="top" wrapText="1"/>
    </xf>
    <xf numFmtId="0" fontId="46" fillId="0" borderId="0" xfId="0" applyFont="1" applyAlignment="1">
      <alignment horizontal="left" vertical="top" wrapText="1"/>
    </xf>
    <xf numFmtId="0" fontId="46" fillId="0" borderId="0" xfId="0" applyFont="1" applyAlignment="1">
      <alignment horizontal="center" vertical="top" wrapText="1"/>
    </xf>
    <xf numFmtId="176" fontId="46" fillId="0" borderId="0" xfId="0" applyNumberFormat="1" applyFont="1" applyAlignment="1">
      <alignment horizontal="right" vertical="top" wrapText="1"/>
    </xf>
    <xf numFmtId="0" fontId="46" fillId="0" borderId="0" xfId="0" applyFont="1" applyAlignment="1">
      <alignment horizontal="right" vertical="top" wrapText="1"/>
    </xf>
    <xf numFmtId="170" fontId="46" fillId="0" borderId="0" xfId="0" applyNumberFormat="1" applyFont="1" applyAlignment="1">
      <alignment horizontal="center" vertical="top" wrapText="1"/>
    </xf>
    <xf numFmtId="180" fontId="0" fillId="3" borderId="0" xfId="0" applyNumberFormat="1" applyFill="1"/>
    <xf numFmtId="14" fontId="39" fillId="0" borderId="0" xfId="0" applyNumberFormat="1" applyFont="1"/>
    <xf numFmtId="39" fontId="0" fillId="3" borderId="0" xfId="0" applyNumberFormat="1" applyFill="1"/>
    <xf numFmtId="4" fontId="0" fillId="0" borderId="0" xfId="0" applyNumberFormat="1"/>
    <xf numFmtId="14" fontId="0" fillId="0" borderId="0" xfId="0" applyNumberFormat="1" applyAlignment="1">
      <alignment wrapText="1"/>
    </xf>
    <xf numFmtId="0" fontId="0" fillId="11" borderId="0" xfId="0" applyFill="1"/>
    <xf numFmtId="0" fontId="10" fillId="3" borderId="0" xfId="0" applyFont="1" applyFill="1"/>
    <xf numFmtId="177" fontId="53" fillId="0" borderId="0" xfId="10" applyNumberFormat="1" applyFont="1" applyAlignment="1">
      <alignment horizontal="center"/>
    </xf>
    <xf numFmtId="0" fontId="0" fillId="10" borderId="0" xfId="0" applyFill="1" applyAlignment="1">
      <alignment wrapText="1"/>
    </xf>
    <xf numFmtId="181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24" fillId="0" borderId="0" xfId="0" applyFont="1" applyAlignment="1">
      <alignment vertical="top" wrapText="1"/>
    </xf>
    <xf numFmtId="0" fontId="26" fillId="3" borderId="0" xfId="0" applyFont="1" applyFill="1" applyAlignment="1">
      <alignment horizontal="right"/>
    </xf>
    <xf numFmtId="0" fontId="26" fillId="3" borderId="5" xfId="0" applyFont="1" applyFill="1" applyBorder="1" applyAlignment="1">
      <alignment horizontal="right"/>
    </xf>
    <xf numFmtId="0" fontId="55" fillId="3" borderId="0" xfId="0" applyFont="1" applyFill="1" applyAlignment="1">
      <alignment horizontal="left"/>
    </xf>
    <xf numFmtId="0" fontId="55" fillId="3" borderId="22" xfId="0" applyFont="1" applyFill="1" applyBorder="1" applyAlignment="1">
      <alignment horizontal="right"/>
    </xf>
    <xf numFmtId="169" fontId="26" fillId="3" borderId="0" xfId="0" applyNumberFormat="1" applyFont="1" applyFill="1" applyAlignment="1">
      <alignment horizontal="right"/>
    </xf>
    <xf numFmtId="169" fontId="26" fillId="3" borderId="22" xfId="0" applyNumberFormat="1" applyFont="1" applyFill="1" applyBorder="1" applyAlignment="1">
      <alignment horizontal="right"/>
    </xf>
    <xf numFmtId="0" fontId="37" fillId="11" borderId="0" xfId="0" applyFont="1" applyFill="1"/>
    <xf numFmtId="0" fontId="10" fillId="11" borderId="0" xfId="0" applyFont="1" applyFill="1"/>
    <xf numFmtId="0" fontId="6" fillId="11" borderId="0" xfId="0" applyFont="1" applyFill="1"/>
    <xf numFmtId="0" fontId="24" fillId="0" borderId="18" xfId="0" applyFont="1" applyBorder="1" applyAlignment="1">
      <alignment horizontal="center" vertical="center" wrapText="1"/>
    </xf>
    <xf numFmtId="170" fontId="25" fillId="0" borderId="18" xfId="0" applyNumberFormat="1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18" xfId="0" applyFont="1" applyBorder="1" applyAlignment="1">
      <alignment horizontal="center" vertical="top" wrapText="1"/>
    </xf>
    <xf numFmtId="170" fontId="25" fillId="0" borderId="18" xfId="0" applyNumberFormat="1" applyFont="1" applyBorder="1" applyAlignment="1">
      <alignment horizontal="center" vertical="top" wrapText="1"/>
    </xf>
    <xf numFmtId="170" fontId="25" fillId="0" borderId="18" xfId="0" applyNumberFormat="1" applyFont="1" applyBorder="1" applyAlignment="1">
      <alignment horizontal="right" vertical="top" wrapText="1"/>
    </xf>
    <xf numFmtId="0" fontId="25" fillId="0" borderId="18" xfId="0" applyFont="1" applyBorder="1" applyAlignment="1">
      <alignment horizontal="left" vertical="top" wrapText="1"/>
    </xf>
    <xf numFmtId="0" fontId="25" fillId="4" borderId="37" xfId="0" applyFont="1" applyFill="1" applyBorder="1" applyAlignment="1">
      <alignment vertical="top" wrapText="1"/>
    </xf>
    <xf numFmtId="0" fontId="25" fillId="4" borderId="38" xfId="0" applyFont="1" applyFill="1" applyBorder="1" applyAlignment="1">
      <alignment vertical="top" wrapText="1"/>
    </xf>
    <xf numFmtId="0" fontId="25" fillId="4" borderId="39" xfId="0" applyFont="1" applyFill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170" fontId="24" fillId="0" borderId="18" xfId="0" applyNumberFormat="1" applyFont="1" applyBorder="1" applyAlignment="1">
      <alignment horizontal="right" vertical="top" wrapText="1"/>
    </xf>
    <xf numFmtId="0" fontId="25" fillId="0" borderId="14" xfId="0" applyFont="1" applyBorder="1" applyAlignment="1">
      <alignment vertical="top" wrapText="1"/>
    </xf>
    <xf numFmtId="0" fontId="0" fillId="0" borderId="14" xfId="0" applyBorder="1"/>
    <xf numFmtId="10" fontId="6" fillId="0" borderId="0" xfId="0" applyNumberFormat="1" applyFont="1"/>
    <xf numFmtId="181" fontId="6" fillId="0" borderId="0" xfId="0" applyNumberFormat="1" applyFont="1"/>
    <xf numFmtId="0" fontId="2" fillId="0" borderId="0" xfId="0" applyFont="1" applyAlignment="1">
      <alignment vertical="center"/>
    </xf>
    <xf numFmtId="0" fontId="57" fillId="12" borderId="25" xfId="0" applyFont="1" applyFill="1" applyBorder="1" applyAlignment="1">
      <alignment vertical="center"/>
    </xf>
    <xf numFmtId="0" fontId="57" fillId="12" borderId="12" xfId="0" applyFont="1" applyFill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57" fillId="13" borderId="15" xfId="0" applyFont="1" applyFill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7" fillId="0" borderId="40" xfId="0" applyFont="1" applyBorder="1" applyAlignment="1">
      <alignment vertical="center"/>
    </xf>
    <xf numFmtId="182" fontId="57" fillId="12" borderId="22" xfId="0" applyNumberFormat="1" applyFont="1" applyFill="1" applyBorder="1" applyAlignment="1">
      <alignment vertical="center"/>
    </xf>
    <xf numFmtId="182" fontId="57" fillId="12" borderId="28" xfId="0" applyNumberFormat="1" applyFont="1" applyFill="1" applyBorder="1" applyAlignment="1">
      <alignment vertical="center"/>
    </xf>
    <xf numFmtId="183" fontId="57" fillId="12" borderId="0" xfId="0" applyNumberFormat="1" applyFont="1" applyFill="1" applyAlignment="1">
      <alignment horizontal="right" vertical="center"/>
    </xf>
    <xf numFmtId="183" fontId="57" fillId="12" borderId="32" xfId="0" applyNumberFormat="1" applyFont="1" applyFill="1" applyBorder="1" applyAlignment="1">
      <alignment horizontal="right" vertical="center"/>
    </xf>
    <xf numFmtId="5" fontId="7" fillId="0" borderId="5" xfId="0" applyNumberFormat="1" applyFont="1" applyBorder="1" applyAlignment="1">
      <alignment vertical="center"/>
    </xf>
    <xf numFmtId="5" fontId="7" fillId="0" borderId="24" xfId="0" applyNumberFormat="1" applyFont="1" applyBorder="1" applyAlignment="1">
      <alignment vertical="center"/>
    </xf>
    <xf numFmtId="5" fontId="57" fillId="13" borderId="5" xfId="0" applyNumberFormat="1" applyFont="1" applyFill="1" applyBorder="1" applyAlignment="1">
      <alignment vertical="center"/>
    </xf>
    <xf numFmtId="5" fontId="57" fillId="13" borderId="24" xfId="0" applyNumberFormat="1" applyFont="1" applyFill="1" applyBorder="1" applyAlignment="1">
      <alignment vertical="center"/>
    </xf>
    <xf numFmtId="184" fontId="7" fillId="0" borderId="0" xfId="0" applyNumberFormat="1" applyFont="1" applyAlignment="1">
      <alignment vertical="center"/>
    </xf>
    <xf numFmtId="184" fontId="7" fillId="0" borderId="32" xfId="0" applyNumberFormat="1" applyFont="1" applyBorder="1" applyAlignment="1">
      <alignment vertical="center"/>
    </xf>
    <xf numFmtId="184" fontId="7" fillId="0" borderId="5" xfId="0" applyNumberFormat="1" applyFont="1" applyBorder="1" applyAlignment="1">
      <alignment vertical="center"/>
    </xf>
    <xf numFmtId="184" fontId="7" fillId="0" borderId="24" xfId="0" applyNumberFormat="1" applyFont="1" applyBorder="1" applyAlignment="1">
      <alignment vertical="center"/>
    </xf>
    <xf numFmtId="184" fontId="12" fillId="0" borderId="0" xfId="0" applyNumberFormat="1" applyFont="1" applyAlignment="1">
      <alignment vertical="center"/>
    </xf>
    <xf numFmtId="184" fontId="12" fillId="0" borderId="32" xfId="0" applyNumberFormat="1" applyFont="1" applyBorder="1" applyAlignment="1">
      <alignment vertical="center"/>
    </xf>
    <xf numFmtId="9" fontId="15" fillId="0" borderId="0" xfId="5" applyFont="1" applyBorder="1" applyAlignment="1">
      <alignment vertical="center"/>
    </xf>
    <xf numFmtId="9" fontId="15" fillId="0" borderId="32" xfId="5" applyFont="1" applyBorder="1" applyAlignment="1">
      <alignment vertical="center"/>
    </xf>
    <xf numFmtId="5" fontId="7" fillId="0" borderId="14" xfId="0" applyNumberFormat="1" applyFont="1" applyBorder="1" applyAlignment="1">
      <alignment vertical="center"/>
    </xf>
    <xf numFmtId="5" fontId="7" fillId="0" borderId="41" xfId="0" applyNumberFormat="1" applyFont="1" applyBorder="1" applyAlignment="1">
      <alignment vertical="center"/>
    </xf>
    <xf numFmtId="5" fontId="12" fillId="0" borderId="0" xfId="0" applyNumberFormat="1" applyFont="1" applyAlignment="1">
      <alignment vertical="center"/>
    </xf>
    <xf numFmtId="5" fontId="12" fillId="0" borderId="32" xfId="0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5" fontId="7" fillId="0" borderId="5" xfId="0" applyNumberFormat="1" applyFont="1" applyBorder="1" applyAlignment="1">
      <alignment horizontal="center" vertical="center"/>
    </xf>
    <xf numFmtId="5" fontId="57" fillId="13" borderId="5" xfId="0" applyNumberFormat="1" applyFont="1" applyFill="1" applyBorder="1" applyAlignment="1">
      <alignment horizontal="center" vertical="center"/>
    </xf>
    <xf numFmtId="5" fontId="7" fillId="0" borderId="0" xfId="0" applyNumberFormat="1" applyFont="1" applyAlignment="1">
      <alignment vertical="center"/>
    </xf>
    <xf numFmtId="44" fontId="0" fillId="0" borderId="0" xfId="3" applyFont="1" applyFill="1" applyAlignment="1">
      <alignment wrapText="1"/>
    </xf>
    <xf numFmtId="9" fontId="0" fillId="0" borderId="0" xfId="5" applyFont="1" applyFill="1" applyAlignment="1">
      <alignment wrapText="1"/>
    </xf>
    <xf numFmtId="181" fontId="0" fillId="0" borderId="0" xfId="0" applyNumberFormat="1"/>
    <xf numFmtId="0" fontId="6" fillId="0" borderId="0" xfId="0" applyFont="1" applyAlignment="1">
      <alignment horizontal="center"/>
    </xf>
    <xf numFmtId="1" fontId="9" fillId="0" borderId="7" xfId="6" applyNumberFormat="1" applyFont="1" applyBorder="1" applyAlignment="1">
      <alignment horizontal="right"/>
    </xf>
    <xf numFmtId="9" fontId="42" fillId="0" borderId="7" xfId="7" applyNumberFormat="1" applyFont="1" applyBorder="1"/>
    <xf numFmtId="165" fontId="0" fillId="0" borderId="0" xfId="3" applyNumberFormat="1" applyFont="1" applyAlignment="1">
      <alignment wrapText="1"/>
    </xf>
    <xf numFmtId="9" fontId="0" fillId="0" borderId="0" xfId="5" applyFont="1" applyAlignment="1">
      <alignment wrapText="1"/>
    </xf>
    <xf numFmtId="0" fontId="58" fillId="9" borderId="0" xfId="0" applyFont="1" applyFill="1"/>
    <xf numFmtId="0" fontId="59" fillId="9" borderId="0" xfId="0" applyFont="1" applyFill="1"/>
    <xf numFmtId="185" fontId="58" fillId="9" borderId="0" xfId="0" applyNumberFormat="1" applyFont="1" applyFill="1" applyAlignment="1">
      <alignment horizontal="center"/>
    </xf>
    <xf numFmtId="14" fontId="58" fillId="9" borderId="0" xfId="0" applyNumberFormat="1" applyFont="1" applyFill="1" applyAlignment="1">
      <alignment horizontal="center"/>
    </xf>
    <xf numFmtId="0" fontId="17" fillId="0" borderId="0" xfId="0" applyFont="1"/>
    <xf numFmtId="186" fontId="39" fillId="0" borderId="0" xfId="0" applyNumberFormat="1" applyFont="1"/>
    <xf numFmtId="187" fontId="0" fillId="0" borderId="0" xfId="0" applyNumberFormat="1"/>
    <xf numFmtId="14" fontId="0" fillId="0" borderId="0" xfId="0" applyNumberFormat="1"/>
    <xf numFmtId="0" fontId="46" fillId="0" borderId="33" xfId="0" applyFont="1" applyBorder="1" applyAlignment="1">
      <alignment horizontal="left" vertical="top" wrapText="1"/>
    </xf>
    <xf numFmtId="171" fontId="31" fillId="0" borderId="15" xfId="12" applyNumberFormat="1" applyFont="1" applyBorder="1" applyAlignment="1">
      <alignment horizontal="right" vertical="center"/>
    </xf>
    <xf numFmtId="41" fontId="41" fillId="0" borderId="7" xfId="6" quotePrefix="1" applyNumberFormat="1" applyFont="1" applyBorder="1" applyAlignment="1">
      <alignment horizontal="right"/>
    </xf>
    <xf numFmtId="181" fontId="0" fillId="0" borderId="0" xfId="0" applyNumberFormat="1" applyAlignment="1">
      <alignment wrapText="1"/>
    </xf>
    <xf numFmtId="0" fontId="10" fillId="0" borderId="17" xfId="0" applyFont="1" applyBorder="1" applyAlignment="1">
      <alignment wrapText="1"/>
    </xf>
    <xf numFmtId="181" fontId="0" fillId="0" borderId="17" xfId="0" applyNumberFormat="1" applyBorder="1" applyAlignment="1">
      <alignment wrapText="1"/>
    </xf>
    <xf numFmtId="0" fontId="24" fillId="0" borderId="0" xfId="0" applyFont="1" applyAlignment="1">
      <alignment horizontal="center" vertical="center" wrapText="1"/>
    </xf>
    <xf numFmtId="170" fontId="25" fillId="0" borderId="0" xfId="0" applyNumberFormat="1" applyFont="1" applyAlignment="1">
      <alignment horizontal="right" vertical="top" wrapText="1"/>
    </xf>
    <xf numFmtId="0" fontId="25" fillId="4" borderId="0" xfId="0" applyFont="1" applyFill="1" applyAlignment="1">
      <alignment vertical="top" wrapText="1"/>
    </xf>
    <xf numFmtId="170" fontId="24" fillId="0" borderId="0" xfId="0" applyNumberFormat="1" applyFont="1" applyAlignment="1">
      <alignment horizontal="right" vertical="top" wrapText="1"/>
    </xf>
    <xf numFmtId="0" fontId="2" fillId="0" borderId="0" xfId="8" applyFont="1"/>
    <xf numFmtId="0" fontId="10" fillId="0" borderId="0" xfId="8"/>
    <xf numFmtId="37" fontId="7" fillId="0" borderId="42" xfId="7" applyFont="1" applyBorder="1"/>
    <xf numFmtId="37" fontId="7" fillId="0" borderId="43" xfId="7" applyFont="1" applyBorder="1"/>
    <xf numFmtId="37" fontId="9" fillId="0" borderId="43" xfId="7" applyFont="1" applyBorder="1"/>
    <xf numFmtId="37" fontId="8" fillId="0" borderId="21" xfId="6" applyFont="1" applyBorder="1" applyAlignment="1">
      <alignment horizontal="right"/>
    </xf>
    <xf numFmtId="37" fontId="11" fillId="0" borderId="22" xfId="6" applyFont="1" applyBorder="1" applyProtection="1">
      <protection locked="0"/>
    </xf>
    <xf numFmtId="37" fontId="8" fillId="0" borderId="44" xfId="7" applyFont="1" applyBorder="1"/>
    <xf numFmtId="37" fontId="7" fillId="0" borderId="15" xfId="7" applyFont="1" applyBorder="1" applyAlignment="1">
      <alignment horizontal="center"/>
    </xf>
    <xf numFmtId="37" fontId="7" fillId="0" borderId="5" xfId="7" applyFont="1" applyBorder="1" applyAlignment="1">
      <alignment horizontal="center"/>
    </xf>
    <xf numFmtId="167" fontId="8" fillId="0" borderId="16" xfId="7" applyNumberFormat="1" applyFont="1" applyBorder="1" applyAlignment="1">
      <alignment horizontal="center"/>
    </xf>
    <xf numFmtId="0" fontId="60" fillId="0" borderId="28" xfId="8" applyFont="1" applyBorder="1"/>
    <xf numFmtId="37" fontId="8" fillId="0" borderId="6" xfId="7" quotePrefix="1" applyFont="1" applyBorder="1" applyAlignment="1">
      <alignment horizontal="center"/>
    </xf>
    <xf numFmtId="0" fontId="60" fillId="0" borderId="24" xfId="8" applyFont="1" applyBorder="1" applyAlignment="1">
      <alignment horizontal="center"/>
    </xf>
    <xf numFmtId="10" fontId="10" fillId="0" borderId="22" xfId="7" applyNumberFormat="1" applyFont="1" applyBorder="1"/>
    <xf numFmtId="0" fontId="61" fillId="0" borderId="7" xfId="8" applyFont="1" applyBorder="1" applyAlignment="1">
      <alignment horizontal="right"/>
    </xf>
    <xf numFmtId="0" fontId="61" fillId="0" borderId="0" xfId="8" applyFont="1" applyAlignment="1">
      <alignment horizontal="right"/>
    </xf>
    <xf numFmtId="42" fontId="6" fillId="0" borderId="0" xfId="4" applyFont="1" applyFill="1" applyBorder="1" applyProtection="1">
      <protection locked="0"/>
    </xf>
    <xf numFmtId="7" fontId="15" fillId="0" borderId="19" xfId="6" applyNumberFormat="1" applyFont="1" applyBorder="1" applyAlignment="1" applyProtection="1">
      <alignment vertical="top"/>
      <protection locked="0"/>
    </xf>
    <xf numFmtId="7" fontId="6" fillId="0" borderId="19" xfId="7" applyNumberFormat="1" applyFont="1" applyBorder="1" applyProtection="1">
      <protection locked="0"/>
    </xf>
    <xf numFmtId="7" fontId="6" fillId="0" borderId="22" xfId="7" applyNumberFormat="1" applyFont="1" applyBorder="1"/>
    <xf numFmtId="37" fontId="62" fillId="0" borderId="0" xfId="6" applyFont="1" applyProtection="1">
      <protection locked="0"/>
    </xf>
    <xf numFmtId="37" fontId="6" fillId="0" borderId="0" xfId="6" applyFont="1" applyProtection="1">
      <protection locked="0"/>
    </xf>
    <xf numFmtId="37" fontId="6" fillId="0" borderId="0" xfId="7" applyFont="1" applyProtection="1">
      <protection locked="0"/>
    </xf>
    <xf numFmtId="37" fontId="10" fillId="0" borderId="0" xfId="6" applyFont="1" applyAlignment="1" applyProtection="1">
      <alignment horizontal="left"/>
      <protection locked="0"/>
    </xf>
    <xf numFmtId="37" fontId="10" fillId="0" borderId="0" xfId="7" applyFont="1" applyProtection="1">
      <protection locked="0"/>
    </xf>
    <xf numFmtId="37" fontId="6" fillId="0" borderId="0" xfId="6" applyFont="1" applyAlignment="1" applyProtection="1">
      <alignment horizontal="left"/>
      <protection locked="0"/>
    </xf>
    <xf numFmtId="0" fontId="10" fillId="0" borderId="0" xfId="8" applyAlignment="1">
      <alignment horizontal="left"/>
    </xf>
    <xf numFmtId="37" fontId="7" fillId="0" borderId="0" xfId="7" applyFont="1" applyAlignment="1" applyProtection="1">
      <alignment horizontal="left"/>
      <protection locked="0"/>
    </xf>
    <xf numFmtId="0" fontId="35" fillId="0" borderId="0" xfId="10" applyFont="1" applyAlignment="1"/>
    <xf numFmtId="0" fontId="35" fillId="0" borderId="0" xfId="10" applyFont="1" applyAlignment="1">
      <alignment horizontal="center"/>
    </xf>
    <xf numFmtId="0" fontId="35" fillId="0" borderId="0" xfId="10" applyFont="1" applyAlignment="1">
      <alignment vertical="center"/>
    </xf>
    <xf numFmtId="17" fontId="35" fillId="0" borderId="0" xfId="10" applyNumberFormat="1" applyFont="1" applyAlignment="1">
      <alignment horizontal="center" vertical="center"/>
    </xf>
    <xf numFmtId="165" fontId="23" fillId="0" borderId="0" xfId="13" applyNumberFormat="1" applyFont="1" applyFill="1" applyBorder="1" applyAlignment="1">
      <alignment horizontal="right"/>
    </xf>
    <xf numFmtId="0" fontId="36" fillId="0" borderId="0" xfId="10" applyFont="1" applyAlignment="1"/>
    <xf numFmtId="177" fontId="23" fillId="0" borderId="0" xfId="10" applyNumberFormat="1" applyFont="1" applyAlignment="1">
      <alignment horizontal="center"/>
    </xf>
    <xf numFmtId="169" fontId="0" fillId="0" borderId="0" xfId="0" applyNumberFormat="1"/>
    <xf numFmtId="0" fontId="35" fillId="0" borderId="0" xfId="10" applyFont="1" applyAlignment="1">
      <alignment horizontal="center" vertical="center"/>
    </xf>
    <xf numFmtId="14" fontId="35" fillId="0" borderId="0" xfId="10" applyNumberFormat="1" applyFont="1" applyAlignment="1">
      <alignment horizontal="center"/>
    </xf>
    <xf numFmtId="0" fontId="0" fillId="6" borderId="16" xfId="0" applyFill="1" applyBorder="1"/>
    <xf numFmtId="0" fontId="0" fillId="6" borderId="45" xfId="0" applyFill="1" applyBorder="1"/>
    <xf numFmtId="42" fontId="64" fillId="0" borderId="0" xfId="10" applyNumberFormat="1" applyFont="1" applyAlignment="1"/>
    <xf numFmtId="42" fontId="23" fillId="0" borderId="0" xfId="10" applyNumberFormat="1" applyFont="1" applyAlignment="1"/>
    <xf numFmtId="42" fontId="23" fillId="0" borderId="0" xfId="10" applyNumberFormat="1" applyFont="1" applyAlignment="1">
      <alignment horizontal="center"/>
    </xf>
    <xf numFmtId="42" fontId="10" fillId="0" borderId="0" xfId="0" applyNumberFormat="1" applyFont="1"/>
    <xf numFmtId="42" fontId="63" fillId="0" borderId="0" xfId="0" applyNumberFormat="1" applyFont="1"/>
    <xf numFmtId="42" fontId="6" fillId="0" borderId="0" xfId="0" applyNumberFormat="1" applyFont="1"/>
    <xf numFmtId="42" fontId="0" fillId="0" borderId="0" xfId="0" applyNumberFormat="1"/>
    <xf numFmtId="42" fontId="0" fillId="3" borderId="0" xfId="0" applyNumberFormat="1" applyFill="1"/>
    <xf numFmtId="42" fontId="63" fillId="3" borderId="0" xfId="0" applyNumberFormat="1" applyFont="1" applyFill="1"/>
    <xf numFmtId="42" fontId="6" fillId="3" borderId="0" xfId="0" applyNumberFormat="1" applyFont="1" applyFill="1"/>
    <xf numFmtId="14" fontId="65" fillId="0" borderId="7" xfId="7" applyNumberFormat="1" applyFont="1" applyBorder="1" applyAlignment="1">
      <alignment horizontal="center"/>
    </xf>
    <xf numFmtId="14" fontId="66" fillId="0" borderId="7" xfId="6" applyNumberFormat="1" applyFont="1" applyBorder="1" applyAlignment="1">
      <alignment horizontal="right"/>
    </xf>
    <xf numFmtId="14" fontId="8" fillId="0" borderId="7" xfId="7" applyNumberFormat="1" applyFont="1" applyBorder="1" applyAlignment="1">
      <alignment horizontal="center"/>
    </xf>
    <xf numFmtId="14" fontId="9" fillId="0" borderId="7" xfId="6" applyNumberFormat="1" applyFont="1" applyBorder="1" applyAlignment="1">
      <alignment horizontal="right"/>
    </xf>
    <xf numFmtId="188" fontId="42" fillId="0" borderId="7" xfId="7" applyNumberFormat="1" applyFont="1" applyBorder="1"/>
    <xf numFmtId="188" fontId="6" fillId="0" borderId="7" xfId="7" applyNumberFormat="1" applyFont="1" applyBorder="1"/>
    <xf numFmtId="188" fontId="10" fillId="0" borderId="0" xfId="7" applyNumberFormat="1" applyFont="1"/>
    <xf numFmtId="10" fontId="10" fillId="0" borderId="0" xfId="8" applyNumberFormat="1"/>
    <xf numFmtId="5" fontId="10" fillId="0" borderId="7" xfId="7" applyNumberFormat="1" applyFont="1" applyBorder="1"/>
    <xf numFmtId="5" fontId="10" fillId="0" borderId="0" xfId="7" applyNumberFormat="1" applyFont="1"/>
    <xf numFmtId="5" fontId="6" fillId="0" borderId="7" xfId="7" applyNumberFormat="1" applyFont="1" applyBorder="1"/>
    <xf numFmtId="5" fontId="10" fillId="2" borderId="7" xfId="6" quotePrefix="1" applyNumberFormat="1" applyFont="1" applyFill="1" applyBorder="1" applyAlignment="1">
      <alignment horizontal="right"/>
    </xf>
    <xf numFmtId="5" fontId="6" fillId="0" borderId="19" xfId="7" applyNumberFormat="1" applyFont="1" applyBorder="1"/>
    <xf numFmtId="5" fontId="10" fillId="0" borderId="17" xfId="7" applyNumberFormat="1" applyFont="1" applyBorder="1"/>
    <xf numFmtId="42" fontId="6" fillId="0" borderId="7" xfId="7" applyNumberFormat="1" applyFont="1" applyBorder="1"/>
    <xf numFmtId="9" fontId="6" fillId="0" borderId="7" xfId="4" applyNumberFormat="1" applyFont="1" applyFill="1" applyBorder="1" applyProtection="1">
      <protection locked="0"/>
    </xf>
    <xf numFmtId="41" fontId="67" fillId="0" borderId="7" xfId="6" quotePrefix="1" applyNumberFormat="1" applyFont="1" applyBorder="1" applyAlignment="1">
      <alignment horizontal="right"/>
    </xf>
    <xf numFmtId="188" fontId="6" fillId="0" borderId="19" xfId="7" applyNumberFormat="1" applyFont="1" applyBorder="1"/>
    <xf numFmtId="10" fontId="6" fillId="0" borderId="7" xfId="7" applyNumberFormat="1" applyFont="1" applyBorder="1"/>
    <xf numFmtId="9" fontId="31" fillId="0" borderId="7" xfId="5" applyFont="1" applyFill="1" applyBorder="1"/>
    <xf numFmtId="9" fontId="31" fillId="0" borderId="7" xfId="5" applyFont="1" applyBorder="1"/>
    <xf numFmtId="9" fontId="66" fillId="0" borderId="7" xfId="5" applyFont="1" applyBorder="1"/>
    <xf numFmtId="9" fontId="38" fillId="0" borderId="7" xfId="5" applyFont="1" applyBorder="1"/>
    <xf numFmtId="37" fontId="68" fillId="0" borderId="7" xfId="7" applyFont="1" applyBorder="1" applyAlignment="1">
      <alignment horizontal="center"/>
    </xf>
    <xf numFmtId="37" fontId="17" fillId="0" borderId="7" xfId="7" quotePrefix="1" applyFont="1" applyBorder="1" applyAlignment="1">
      <alignment horizontal="center"/>
    </xf>
    <xf numFmtId="42" fontId="40" fillId="0" borderId="7" xfId="7" applyNumberFormat="1" applyFont="1" applyBorder="1"/>
    <xf numFmtId="41" fontId="40" fillId="0" borderId="7" xfId="6" quotePrefix="1" applyNumberFormat="1" applyFont="1" applyBorder="1" applyAlignment="1">
      <alignment horizontal="right"/>
    </xf>
    <xf numFmtId="188" fontId="44" fillId="0" borderId="7" xfId="7" applyNumberFormat="1" applyFont="1" applyBorder="1"/>
    <xf numFmtId="188" fontId="40" fillId="0" borderId="0" xfId="7" applyNumberFormat="1" applyFont="1"/>
    <xf numFmtId="42" fontId="39" fillId="0" borderId="6" xfId="3" applyNumberFormat="1" applyFont="1" applyFill="1" applyBorder="1" applyAlignment="1">
      <alignment horizontal="right"/>
    </xf>
    <xf numFmtId="42" fontId="39" fillId="0" borderId="7" xfId="6" quotePrefix="1" applyNumberFormat="1" applyFont="1" applyBorder="1" applyAlignment="1">
      <alignment horizontal="right"/>
    </xf>
    <xf numFmtId="42" fontId="42" fillId="0" borderId="7" xfId="3" applyNumberFormat="1" applyFont="1" applyFill="1" applyBorder="1"/>
    <xf numFmtId="42" fontId="43" fillId="0" borderId="7" xfId="3" quotePrefix="1" applyNumberFormat="1" applyFont="1" applyBorder="1" applyAlignment="1">
      <alignment horizontal="right"/>
    </xf>
    <xf numFmtId="42" fontId="42" fillId="0" borderId="7" xfId="3" quotePrefix="1" applyNumberFormat="1" applyFont="1" applyBorder="1" applyAlignment="1">
      <alignment horizontal="right"/>
    </xf>
    <xf numFmtId="42" fontId="39" fillId="0" borderId="7" xfId="3" applyNumberFormat="1" applyFont="1" applyFill="1" applyBorder="1" applyAlignment="1">
      <alignment horizontal="right"/>
    </xf>
    <xf numFmtId="42" fontId="40" fillId="0" borderId="7" xfId="6" quotePrefix="1" applyNumberFormat="1" applyFont="1" applyBorder="1" applyAlignment="1">
      <alignment horizontal="right"/>
    </xf>
    <xf numFmtId="42" fontId="42" fillId="0" borderId="7" xfId="3" applyNumberFormat="1" applyFont="1" applyFill="1" applyBorder="1" applyProtection="1"/>
    <xf numFmtId="42" fontId="43" fillId="0" borderId="7" xfId="3" applyNumberFormat="1" applyFont="1" applyBorder="1"/>
    <xf numFmtId="42" fontId="42" fillId="0" borderId="7" xfId="3" applyNumberFormat="1" applyFont="1" applyBorder="1"/>
    <xf numFmtId="42" fontId="44" fillId="0" borderId="7" xfId="3" quotePrefix="1" applyNumberFormat="1" applyFont="1" applyBorder="1" applyAlignment="1">
      <alignment horizontal="right"/>
    </xf>
    <xf numFmtId="41" fontId="10" fillId="2" borderId="7" xfId="2" applyFont="1" applyFill="1" applyBorder="1" applyProtection="1">
      <protection locked="0"/>
    </xf>
    <xf numFmtId="41" fontId="10" fillId="2" borderId="7" xfId="7" applyNumberFormat="1" applyFont="1" applyFill="1" applyBorder="1"/>
    <xf numFmtId="41" fontId="10" fillId="0" borderId="7" xfId="2" applyFont="1" applyFill="1" applyBorder="1" applyProtection="1">
      <protection locked="0"/>
    </xf>
    <xf numFmtId="41" fontId="10" fillId="0" borderId="7" xfId="7" applyNumberFormat="1" applyFont="1" applyBorder="1"/>
    <xf numFmtId="41" fontId="40" fillId="0" borderId="7" xfId="7" applyNumberFormat="1" applyFont="1" applyBorder="1"/>
    <xf numFmtId="41" fontId="39" fillId="0" borderId="7" xfId="3" applyNumberFormat="1" applyFont="1" applyFill="1" applyBorder="1" applyAlignment="1">
      <alignment horizontal="right"/>
    </xf>
    <xf numFmtId="41" fontId="41" fillId="0" borderId="7" xfId="3" quotePrefix="1" applyNumberFormat="1" applyFont="1" applyBorder="1" applyAlignment="1">
      <alignment horizontal="right"/>
    </xf>
    <xf numFmtId="42" fontId="43" fillId="0" borderId="7" xfId="3" applyNumberFormat="1" applyFont="1" applyFill="1" applyBorder="1" applyAlignment="1">
      <alignment horizontal="right"/>
    </xf>
    <xf numFmtId="42" fontId="42" fillId="0" borderId="7" xfId="3" applyNumberFormat="1" applyFont="1" applyFill="1" applyBorder="1" applyAlignment="1">
      <alignment horizontal="right"/>
    </xf>
    <xf numFmtId="0" fontId="0" fillId="3" borderId="0" xfId="0" applyFill="1" applyAlignment="1">
      <alignment horizontal="left"/>
    </xf>
    <xf numFmtId="42" fontId="67" fillId="0" borderId="7" xfId="6" quotePrefix="1" applyNumberFormat="1" applyFont="1" applyBorder="1" applyAlignment="1">
      <alignment horizontal="right"/>
    </xf>
    <xf numFmtId="41" fontId="67" fillId="2" borderId="7" xfId="2" applyFont="1" applyFill="1" applyBorder="1" applyProtection="1">
      <protection locked="0"/>
    </xf>
    <xf numFmtId="7" fontId="67" fillId="0" borderId="0" xfId="7" applyNumberFormat="1" applyFont="1"/>
    <xf numFmtId="42" fontId="68" fillId="0" borderId="7" xfId="3" quotePrefix="1" applyNumberFormat="1" applyFont="1" applyBorder="1" applyAlignment="1">
      <alignment horizontal="right"/>
    </xf>
    <xf numFmtId="5" fontId="65" fillId="0" borderId="0" xfId="7" applyNumberFormat="1" applyFont="1"/>
    <xf numFmtId="5" fontId="69" fillId="0" borderId="0" xfId="7" applyNumberFormat="1" applyFont="1"/>
    <xf numFmtId="41" fontId="67" fillId="0" borderId="6" xfId="3" applyNumberFormat="1" applyFont="1" applyFill="1" applyBorder="1" applyAlignment="1">
      <alignment horizontal="right"/>
    </xf>
    <xf numFmtId="5" fontId="68" fillId="0" borderId="0" xfId="7" applyNumberFormat="1" applyFont="1"/>
    <xf numFmtId="9" fontId="68" fillId="0" borderId="7" xfId="6" quotePrefix="1" applyNumberFormat="1" applyFont="1" applyBorder="1" applyAlignment="1">
      <alignment horizontal="right"/>
    </xf>
    <xf numFmtId="37" fontId="68" fillId="0" borderId="0" xfId="7" applyFont="1"/>
    <xf numFmtId="42" fontId="68" fillId="0" borderId="0" xfId="4" applyFont="1" applyBorder="1" applyProtection="1"/>
    <xf numFmtId="41" fontId="67" fillId="0" borderId="7" xfId="3" applyNumberFormat="1" applyFont="1" applyFill="1" applyBorder="1" applyAlignment="1">
      <alignment horizontal="right"/>
    </xf>
    <xf numFmtId="7" fontId="67" fillId="2" borderId="7" xfId="7" applyNumberFormat="1" applyFont="1" applyFill="1" applyBorder="1"/>
    <xf numFmtId="42" fontId="68" fillId="0" borderId="7" xfId="3" applyNumberFormat="1" applyFont="1" applyFill="1" applyBorder="1" applyAlignment="1">
      <alignment horizontal="right"/>
    </xf>
    <xf numFmtId="7" fontId="68" fillId="0" borderId="19" xfId="7" applyNumberFormat="1" applyFont="1" applyBorder="1" applyProtection="1">
      <protection locked="0"/>
    </xf>
    <xf numFmtId="42" fontId="68" fillId="0" borderId="7" xfId="3" applyNumberFormat="1" applyFont="1" applyBorder="1"/>
    <xf numFmtId="0" fontId="70" fillId="3" borderId="0" xfId="0" applyFont="1" applyFill="1" applyAlignment="1">
      <alignment horizontal="left"/>
    </xf>
    <xf numFmtId="42" fontId="0" fillId="3" borderId="5" xfId="0" applyNumberFormat="1" applyFill="1" applyBorder="1"/>
    <xf numFmtId="0" fontId="24" fillId="0" borderId="0" xfId="0" applyFont="1" applyAlignment="1">
      <alignment horizontal="right" vertical="top" wrapText="1"/>
    </xf>
    <xf numFmtId="9" fontId="0" fillId="0" borderId="0" xfId="0" applyNumberFormat="1" applyAlignment="1">
      <alignment wrapText="1"/>
    </xf>
    <xf numFmtId="42" fontId="0" fillId="0" borderId="0" xfId="0" applyNumberFormat="1" applyAlignment="1">
      <alignment wrapText="1"/>
    </xf>
    <xf numFmtId="42" fontId="25" fillId="0" borderId="0" xfId="0" applyNumberFormat="1" applyFont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0" borderId="23" xfId="0" applyFont="1" applyBorder="1" applyAlignment="1">
      <alignment vertical="top" wrapText="1"/>
    </xf>
    <xf numFmtId="176" fontId="24" fillId="0" borderId="23" xfId="0" applyNumberFormat="1" applyFont="1" applyBorder="1" applyAlignment="1">
      <alignment vertical="top" wrapText="1"/>
    </xf>
    <xf numFmtId="41" fontId="40" fillId="2" borderId="7" xfId="6" quotePrefix="1" applyNumberFormat="1" applyFont="1" applyFill="1" applyBorder="1" applyAlignment="1">
      <alignment horizontal="right"/>
    </xf>
    <xf numFmtId="7" fontId="40" fillId="0" borderId="0" xfId="6" quotePrefix="1" applyNumberFormat="1" applyFont="1" applyAlignment="1">
      <alignment horizontal="right"/>
    </xf>
    <xf numFmtId="5" fontId="73" fillId="0" borderId="0" xfId="6" applyNumberFormat="1" applyFont="1" applyProtection="1">
      <protection locked="0"/>
    </xf>
    <xf numFmtId="5" fontId="74" fillId="0" borderId="0" xfId="6" applyNumberFormat="1" applyFont="1" applyProtection="1">
      <protection locked="0"/>
    </xf>
    <xf numFmtId="37" fontId="40" fillId="0" borderId="0" xfId="6" applyFont="1" applyProtection="1">
      <protection locked="0"/>
    </xf>
    <xf numFmtId="41" fontId="40" fillId="0" borderId="6" xfId="3" applyNumberFormat="1" applyFont="1" applyFill="1" applyBorder="1" applyAlignment="1">
      <alignment horizontal="right"/>
    </xf>
    <xf numFmtId="9" fontId="44" fillId="0" borderId="7" xfId="6" quotePrefix="1" applyNumberFormat="1" applyFont="1" applyBorder="1" applyAlignment="1">
      <alignment horizontal="right"/>
    </xf>
    <xf numFmtId="9" fontId="10" fillId="0" borderId="0" xfId="8" applyNumberFormat="1" applyAlignment="1">
      <alignment horizontal="left"/>
    </xf>
    <xf numFmtId="44" fontId="0" fillId="0" borderId="0" xfId="0" applyNumberFormat="1" applyAlignment="1">
      <alignment wrapText="1"/>
    </xf>
    <xf numFmtId="6" fontId="42" fillId="0" borderId="7" xfId="3" applyNumberFormat="1" applyFont="1" applyFill="1" applyBorder="1"/>
    <xf numFmtId="42" fontId="44" fillId="0" borderId="7" xfId="3" quotePrefix="1" applyNumberFormat="1" applyFont="1" applyFill="1" applyBorder="1" applyAlignment="1">
      <alignment horizontal="right"/>
    </xf>
    <xf numFmtId="41" fontId="41" fillId="0" borderId="7" xfId="3" applyNumberFormat="1" applyFont="1" applyFill="1" applyBorder="1" applyAlignment="1">
      <alignment horizontal="right"/>
    </xf>
    <xf numFmtId="10" fontId="10" fillId="0" borderId="7" xfId="7" applyNumberFormat="1" applyFont="1" applyBorder="1" applyAlignment="1">
      <alignment horizontal="right"/>
    </xf>
    <xf numFmtId="37" fontId="10" fillId="0" borderId="0" xfId="7" applyFont="1" applyAlignment="1">
      <alignment horizontal="right"/>
    </xf>
    <xf numFmtId="10" fontId="0" fillId="0" borderId="0" xfId="0" applyNumberFormat="1" applyAlignment="1">
      <alignment wrapText="1"/>
    </xf>
    <xf numFmtId="10" fontId="10" fillId="0" borderId="53" xfId="8" applyNumberFormat="1" applyBorder="1"/>
    <xf numFmtId="42" fontId="10" fillId="0" borderId="55" xfId="8" applyNumberFormat="1" applyBorder="1"/>
    <xf numFmtId="10" fontId="10" fillId="0" borderId="52" xfId="8" applyNumberFormat="1" applyBorder="1"/>
    <xf numFmtId="10" fontId="10" fillId="0" borderId="53" xfId="8" applyNumberFormat="1" applyBorder="1" applyAlignment="1">
      <alignment horizontal="left"/>
    </xf>
    <xf numFmtId="10" fontId="10" fillId="0" borderId="54" xfId="8" applyNumberFormat="1" applyBorder="1"/>
    <xf numFmtId="42" fontId="10" fillId="0" borderId="56" xfId="8" applyNumberFormat="1" applyBorder="1"/>
    <xf numFmtId="42" fontId="10" fillId="0" borderId="56" xfId="8" applyNumberFormat="1" applyBorder="1" applyAlignment="1">
      <alignment horizontal="left"/>
    </xf>
    <xf numFmtId="42" fontId="10" fillId="0" borderId="57" xfId="8" applyNumberFormat="1" applyBorder="1"/>
    <xf numFmtId="10" fontId="8" fillId="0" borderId="0" xfId="7" applyNumberFormat="1" applyFont="1"/>
    <xf numFmtId="42" fontId="10" fillId="15" borderId="56" xfId="8" applyNumberFormat="1" applyFill="1" applyBorder="1"/>
    <xf numFmtId="10" fontId="10" fillId="15" borderId="53" xfId="8" applyNumberFormat="1" applyFill="1" applyBorder="1"/>
    <xf numFmtId="42" fontId="0" fillId="15" borderId="0" xfId="0" applyNumberFormat="1" applyFill="1"/>
    <xf numFmtId="165" fontId="0" fillId="0" borderId="0" xfId="0" applyNumberFormat="1" applyAlignment="1">
      <alignment wrapText="1"/>
    </xf>
    <xf numFmtId="182" fontId="57" fillId="12" borderId="11" xfId="0" applyNumberFormat="1" applyFont="1" applyFill="1" applyBorder="1" applyAlignment="1">
      <alignment vertical="center"/>
    </xf>
    <xf numFmtId="170" fontId="25" fillId="0" borderId="0" xfId="0" applyNumberFormat="1" applyFont="1" applyAlignment="1">
      <alignment vertical="top" wrapText="1"/>
    </xf>
    <xf numFmtId="0" fontId="2" fillId="0" borderId="0" xfId="8" applyFont="1" applyAlignment="1">
      <alignment horizontal="center"/>
    </xf>
    <xf numFmtId="37" fontId="7" fillId="0" borderId="2" xfId="7" applyFont="1" applyBorder="1" applyAlignment="1">
      <alignment horizontal="center"/>
    </xf>
    <xf numFmtId="37" fontId="8" fillId="0" borderId="20" xfId="7" applyFont="1" applyBorder="1" applyAlignment="1">
      <alignment horizontal="center"/>
    </xf>
    <xf numFmtId="37" fontId="8" fillId="0" borderId="19" xfId="7" applyFont="1" applyBorder="1" applyAlignment="1">
      <alignment horizontal="center"/>
    </xf>
    <xf numFmtId="37" fontId="8" fillId="0" borderId="21" xfId="7" applyFont="1" applyBorder="1" applyAlignment="1">
      <alignment horizontal="center"/>
    </xf>
    <xf numFmtId="38" fontId="9" fillId="0" borderId="20" xfId="1" applyNumberFormat="1" applyFont="1" applyFill="1" applyBorder="1" applyAlignment="1">
      <alignment horizontal="center"/>
    </xf>
    <xf numFmtId="38" fontId="9" fillId="0" borderId="19" xfId="1" applyNumberFormat="1" applyFont="1" applyFill="1" applyBorder="1" applyAlignment="1">
      <alignment horizontal="center"/>
    </xf>
    <xf numFmtId="38" fontId="9" fillId="0" borderId="21" xfId="1" applyNumberFormat="1" applyFont="1" applyFill="1" applyBorder="1" applyAlignment="1">
      <alignment horizontal="center"/>
    </xf>
    <xf numFmtId="37" fontId="9" fillId="0" borderId="20" xfId="6" applyFont="1" applyBorder="1" applyAlignment="1" applyProtection="1">
      <alignment horizontal="center"/>
      <protection locked="0"/>
    </xf>
    <xf numFmtId="37" fontId="9" fillId="0" borderId="19" xfId="6" applyFont="1" applyBorder="1" applyAlignment="1" applyProtection="1">
      <alignment horizontal="center"/>
      <protection locked="0"/>
    </xf>
    <xf numFmtId="37" fontId="9" fillId="0" borderId="21" xfId="6" applyFont="1" applyBorder="1" applyAlignment="1" applyProtection="1">
      <alignment horizontal="center"/>
      <protection locked="0"/>
    </xf>
    <xf numFmtId="0" fontId="47" fillId="9" borderId="25" xfId="0" applyFont="1" applyFill="1" applyBorder="1" applyAlignment="1">
      <alignment horizontal="center"/>
    </xf>
    <xf numFmtId="0" fontId="47" fillId="9" borderId="22" xfId="0" applyFont="1" applyFill="1" applyBorder="1" applyAlignment="1">
      <alignment horizontal="center"/>
    </xf>
    <xf numFmtId="0" fontId="47" fillId="9" borderId="28" xfId="0" applyFont="1" applyFill="1" applyBorder="1" applyAlignment="1">
      <alignment horizontal="center"/>
    </xf>
    <xf numFmtId="37" fontId="2" fillId="0" borderId="0" xfId="6" applyFont="1" applyAlignment="1">
      <alignment horizontal="center"/>
    </xf>
    <xf numFmtId="0" fontId="3" fillId="0" borderId="0" xfId="0" applyFont="1"/>
    <xf numFmtId="0" fontId="26" fillId="3" borderId="0" xfId="0" applyFont="1" applyFill="1" applyAlignment="1">
      <alignment horizontal="left"/>
    </xf>
    <xf numFmtId="182" fontId="57" fillId="14" borderId="22" xfId="0" applyNumberFormat="1" applyFont="1" applyFill="1" applyBorder="1" applyAlignment="1">
      <alignment horizontal="center" vertical="center" wrapText="1"/>
    </xf>
    <xf numFmtId="182" fontId="57" fillId="14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54" fillId="3" borderId="0" xfId="0" applyFont="1" applyFill="1" applyAlignment="1">
      <alignment horizontal="center"/>
    </xf>
    <xf numFmtId="0" fontId="24" fillId="0" borderId="0" xfId="0" applyFont="1" applyAlignment="1">
      <alignment horizontal="left" vertical="top" wrapText="1"/>
    </xf>
    <xf numFmtId="0" fontId="72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5" fillId="0" borderId="37" xfId="0" applyFont="1" applyBorder="1" applyAlignment="1">
      <alignment vertical="top" wrapText="1"/>
    </xf>
    <xf numFmtId="0" fontId="71" fillId="0" borderId="0" xfId="0" applyFont="1" applyAlignment="1">
      <alignment vertical="top" wrapText="1"/>
    </xf>
    <xf numFmtId="0" fontId="46" fillId="0" borderId="34" xfId="0" applyFont="1" applyBorder="1" applyAlignment="1">
      <alignment horizontal="left" vertical="top" wrapText="1"/>
    </xf>
    <xf numFmtId="0" fontId="24" fillId="0" borderId="0" xfId="0" applyFont="1" applyAlignment="1">
      <alignment vertical="top" wrapText="1"/>
    </xf>
    <xf numFmtId="0" fontId="24" fillId="0" borderId="23" xfId="0" applyFont="1" applyBorder="1" applyAlignment="1">
      <alignment horizontal="left" vertical="top" wrapText="1"/>
    </xf>
    <xf numFmtId="0" fontId="25" fillId="0" borderId="48" xfId="0" applyFont="1" applyBorder="1" applyAlignment="1">
      <alignment vertical="top" wrapText="1"/>
    </xf>
    <xf numFmtId="0" fontId="24" fillId="0" borderId="50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4" fillId="0" borderId="0" xfId="10" applyFont="1" applyAlignment="1">
      <alignment vertical="top" wrapText="1"/>
    </xf>
    <xf numFmtId="0" fontId="24" fillId="0" borderId="0" xfId="10" applyFont="1" applyAlignment="1">
      <alignment horizontal="left" vertical="top" wrapText="1"/>
    </xf>
  </cellXfs>
  <cellStyles count="15">
    <cellStyle name="Comma" xfId="1" builtinId="3"/>
    <cellStyle name="Comma [0]" xfId="2" builtinId="6"/>
    <cellStyle name="Currency" xfId="3" builtinId="4"/>
    <cellStyle name="Currency [0]" xfId="4" builtinId="7"/>
    <cellStyle name="Currency 2" xfId="13" xr:uid="{D2D5FC07-7169-4368-8AEE-1CBBAE683C99}"/>
    <cellStyle name="Hyperlink" xfId="14" builtinId="8"/>
    <cellStyle name="Normal" xfId="0" builtinId="0"/>
    <cellStyle name="Normal 2" xfId="8" xr:uid="{CF5E123F-DFB6-4593-B45A-507D5D65BC2F}"/>
    <cellStyle name="Normal 3" xfId="9" xr:uid="{52488AF6-B530-4399-AF26-0E95F911C0F2}"/>
    <cellStyle name="Normal 4" xfId="10" xr:uid="{4C9C3225-DEF3-4AD4-8F00-B24275263671}"/>
    <cellStyle name="Normal 5" xfId="11" xr:uid="{7E5934D2-D130-4D69-8495-01D7C47BEBD1}"/>
    <cellStyle name="Normal_ADJUST" xfId="6" xr:uid="{D6B91553-9574-4134-B3B3-1A6B203179AE}"/>
    <cellStyle name="Normal_OPERAT" xfId="7" xr:uid="{041D49C3-C660-4BC9-811A-52FE8083339D}"/>
    <cellStyle name="Percent" xfId="5" builtinId="5"/>
    <cellStyle name="Percent 2" xfId="12" xr:uid="{ACD22082-3EB4-48A5-A668-8206B48FA577}"/>
  </cellStyles>
  <dxfs count="17">
    <dxf>
      <font>
        <color rgb="FFC00000"/>
      </font>
    </dxf>
    <dxf>
      <font>
        <color rgb="FF00B050"/>
      </font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008000"/>
      <color rgb="FF3333FF"/>
      <color rgb="FF3399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257735</xdr:colOff>
      <xdr:row>7</xdr:row>
      <xdr:rowOff>44823</xdr:rowOff>
    </xdr:from>
    <xdr:to>
      <xdr:col>9</xdr:col>
      <xdr:colOff>213424</xdr:colOff>
      <xdr:row>50</xdr:row>
      <xdr:rowOff>100680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7DDB70-2846-3EB2-B302-60AE611C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35" y="1142999"/>
          <a:ext cx="7687748" cy="6801799"/>
        </a:xfrm>
        <a:prstGeom prst="rect">
          <a:avLst/>
        </a:prstGeom>
      </xdr:spPr>
    </xdr:pic>
    <xdr:clientData/>
  </xdr:twoCellAnchor>
  <xdr:twoCellAnchor editAs="oneCell">
    <xdr:from>
      <xdr:col>10</xdr:col>
      <xdr:colOff>598237</xdr:colOff>
      <xdr:row>7</xdr:row>
      <xdr:rowOff>71558</xdr:rowOff>
    </xdr:from>
    <xdr:to>
      <xdr:col>23</xdr:col>
      <xdr:colOff>333167</xdr:colOff>
      <xdr:row>50</xdr:row>
      <xdr:rowOff>98836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B4BADB-3B85-96A7-915C-125F08AFF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5413" y="1169734"/>
          <a:ext cx="7668695" cy="6773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294432</xdr:colOff>
      <xdr:row>35</xdr:row>
      <xdr:rowOff>65503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4B96A-60E4-5679-214B-9E7EDE241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2400"/>
          <a:ext cx="7611537" cy="5249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21</xdr:row>
      <xdr:rowOff>0</xdr:rowOff>
    </xdr:from>
    <xdr:to>
      <xdr:col>12</xdr:col>
      <xdr:colOff>230030</xdr:colOff>
      <xdr:row>44</xdr:row>
      <xdr:rowOff>114805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7B09C1-9F8B-4B10-B047-346572A67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3400425"/>
          <a:ext cx="9974105" cy="38390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syuan/Desktop/FCRF%2011%2015%20(5394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Notes"/>
      <sheetName val="Reclasses"/>
      <sheetName val="Accruals"/>
      <sheetName val="GL#"/>
      <sheetName val="Code"/>
    </sheetNames>
    <sheetDataSet>
      <sheetData sheetId="0" refreshError="1"/>
      <sheetData sheetId="1" refreshError="1"/>
      <sheetData sheetId="2" refreshError="1"/>
      <sheetData sheetId="3">
        <row r="2">
          <cell r="A2">
            <v>100000</v>
          </cell>
        </row>
        <row r="3">
          <cell r="A3">
            <v>100010</v>
          </cell>
        </row>
        <row r="4">
          <cell r="A4">
            <v>100150</v>
          </cell>
        </row>
        <row r="5">
          <cell r="A5">
            <v>100250</v>
          </cell>
        </row>
        <row r="6">
          <cell r="A6">
            <v>100255</v>
          </cell>
        </row>
        <row r="7">
          <cell r="A7">
            <v>100270</v>
          </cell>
        </row>
        <row r="8">
          <cell r="A8">
            <v>100280</v>
          </cell>
        </row>
        <row r="9">
          <cell r="A9">
            <v>100300</v>
          </cell>
        </row>
        <row r="10">
          <cell r="A10">
            <v>100350</v>
          </cell>
        </row>
        <row r="11">
          <cell r="A11">
            <v>100370</v>
          </cell>
        </row>
        <row r="12">
          <cell r="A12">
            <v>100700</v>
          </cell>
        </row>
        <row r="13">
          <cell r="A13">
            <v>100710</v>
          </cell>
        </row>
        <row r="14">
          <cell r="A14">
            <v>100750</v>
          </cell>
        </row>
        <row r="15">
          <cell r="A15">
            <v>100990</v>
          </cell>
        </row>
        <row r="16">
          <cell r="A16">
            <v>101000</v>
          </cell>
        </row>
        <row r="17">
          <cell r="A17">
            <v>101150</v>
          </cell>
        </row>
        <row r="18">
          <cell r="A18">
            <v>101200</v>
          </cell>
        </row>
        <row r="19">
          <cell r="A19">
            <v>101220</v>
          </cell>
        </row>
        <row r="20">
          <cell r="A20">
            <v>101250</v>
          </cell>
        </row>
        <row r="21">
          <cell r="A21">
            <v>101251</v>
          </cell>
        </row>
        <row r="22">
          <cell r="A22">
            <v>101255</v>
          </cell>
        </row>
        <row r="23">
          <cell r="A23">
            <v>101256</v>
          </cell>
        </row>
        <row r="24">
          <cell r="A24">
            <v>101260</v>
          </cell>
        </row>
        <row r="25">
          <cell r="A25">
            <v>101263</v>
          </cell>
        </row>
        <row r="26">
          <cell r="A26">
            <v>101270</v>
          </cell>
        </row>
        <row r="27">
          <cell r="A27">
            <v>101350</v>
          </cell>
        </row>
        <row r="28">
          <cell r="A28">
            <v>101355</v>
          </cell>
        </row>
        <row r="29">
          <cell r="A29">
            <v>101370</v>
          </cell>
        </row>
        <row r="30">
          <cell r="A30">
            <v>101400</v>
          </cell>
        </row>
        <row r="31">
          <cell r="A31">
            <v>101450</v>
          </cell>
        </row>
        <row r="32">
          <cell r="A32">
            <v>101990</v>
          </cell>
        </row>
        <row r="33">
          <cell r="A33">
            <v>102000</v>
          </cell>
        </row>
        <row r="34">
          <cell r="A34">
            <v>102100</v>
          </cell>
        </row>
        <row r="35">
          <cell r="A35">
            <v>102150</v>
          </cell>
        </row>
        <row r="36">
          <cell r="A36">
            <v>102200</v>
          </cell>
        </row>
        <row r="37">
          <cell r="A37">
            <v>102250</v>
          </cell>
        </row>
        <row r="38">
          <cell r="A38">
            <v>102260</v>
          </cell>
        </row>
        <row r="39">
          <cell r="A39">
            <v>102300</v>
          </cell>
        </row>
        <row r="40">
          <cell r="A40">
            <v>102400</v>
          </cell>
        </row>
        <row r="41">
          <cell r="A41">
            <v>102405</v>
          </cell>
        </row>
        <row r="42">
          <cell r="A42">
            <v>102410</v>
          </cell>
        </row>
        <row r="43">
          <cell r="A43">
            <v>102420</v>
          </cell>
        </row>
        <row r="44">
          <cell r="A44">
            <v>102450</v>
          </cell>
        </row>
        <row r="45">
          <cell r="A45">
            <v>102451</v>
          </cell>
        </row>
        <row r="46">
          <cell r="A46">
            <v>102452</v>
          </cell>
        </row>
        <row r="47">
          <cell r="A47">
            <v>102460</v>
          </cell>
        </row>
        <row r="48">
          <cell r="A48">
            <v>102480</v>
          </cell>
        </row>
        <row r="49">
          <cell r="A49">
            <v>102490</v>
          </cell>
        </row>
        <row r="50">
          <cell r="A50">
            <v>102600</v>
          </cell>
        </row>
        <row r="51">
          <cell r="A51">
            <v>102990</v>
          </cell>
        </row>
        <row r="52">
          <cell r="A52">
            <v>103000</v>
          </cell>
        </row>
        <row r="53">
          <cell r="A53">
            <v>103100</v>
          </cell>
        </row>
        <row r="54">
          <cell r="A54">
            <v>103120</v>
          </cell>
        </row>
        <row r="55">
          <cell r="A55">
            <v>103150</v>
          </cell>
        </row>
        <row r="56">
          <cell r="A56">
            <v>103200</v>
          </cell>
        </row>
        <row r="57">
          <cell r="A57">
            <v>103401</v>
          </cell>
        </row>
        <row r="58">
          <cell r="A58">
            <v>103402</v>
          </cell>
        </row>
        <row r="59">
          <cell r="A59">
            <v>111000</v>
          </cell>
        </row>
        <row r="60">
          <cell r="A60">
            <v>111100</v>
          </cell>
        </row>
        <row r="61">
          <cell r="A61">
            <v>111110</v>
          </cell>
        </row>
        <row r="62">
          <cell r="A62">
            <v>111150</v>
          </cell>
        </row>
        <row r="63">
          <cell r="A63">
            <v>111160</v>
          </cell>
        </row>
        <row r="64">
          <cell r="A64">
            <v>111200</v>
          </cell>
        </row>
        <row r="65">
          <cell r="A65">
            <v>111250</v>
          </cell>
        </row>
        <row r="66">
          <cell r="A66">
            <v>111300</v>
          </cell>
        </row>
        <row r="67">
          <cell r="A67">
            <v>111400</v>
          </cell>
        </row>
        <row r="68">
          <cell r="A68">
            <v>111990</v>
          </cell>
        </row>
        <row r="69">
          <cell r="A69">
            <v>112000</v>
          </cell>
        </row>
        <row r="70">
          <cell r="A70">
            <v>112100</v>
          </cell>
        </row>
        <row r="71">
          <cell r="A71">
            <v>112150</v>
          </cell>
        </row>
        <row r="72">
          <cell r="A72">
            <v>112200</v>
          </cell>
        </row>
        <row r="73">
          <cell r="A73">
            <v>112250</v>
          </cell>
        </row>
        <row r="74">
          <cell r="A74">
            <v>112990</v>
          </cell>
        </row>
        <row r="75">
          <cell r="A75">
            <v>140000</v>
          </cell>
        </row>
        <row r="76">
          <cell r="A76">
            <v>140050</v>
          </cell>
        </row>
        <row r="77">
          <cell r="A77">
            <v>140051</v>
          </cell>
        </row>
        <row r="78">
          <cell r="A78">
            <v>140055</v>
          </cell>
        </row>
        <row r="79">
          <cell r="A79">
            <v>140070</v>
          </cell>
        </row>
        <row r="80">
          <cell r="A80">
            <v>140100</v>
          </cell>
        </row>
        <row r="81">
          <cell r="A81">
            <v>140105</v>
          </cell>
        </row>
        <row r="82">
          <cell r="A82">
            <v>140110</v>
          </cell>
        </row>
        <row r="83">
          <cell r="A83">
            <v>140120</v>
          </cell>
        </row>
        <row r="84">
          <cell r="A84">
            <v>140125</v>
          </cell>
        </row>
        <row r="85">
          <cell r="A85">
            <v>140130</v>
          </cell>
        </row>
        <row r="86">
          <cell r="A86">
            <v>140140</v>
          </cell>
        </row>
        <row r="87">
          <cell r="A87">
            <v>140150</v>
          </cell>
        </row>
        <row r="88">
          <cell r="A88">
            <v>140200</v>
          </cell>
        </row>
        <row r="89">
          <cell r="A89">
            <v>140220</v>
          </cell>
        </row>
        <row r="90">
          <cell r="A90">
            <v>140225</v>
          </cell>
        </row>
        <row r="91">
          <cell r="A91">
            <v>140250</v>
          </cell>
        </row>
        <row r="92">
          <cell r="A92">
            <v>140300</v>
          </cell>
        </row>
        <row r="93">
          <cell r="A93">
            <v>140350</v>
          </cell>
        </row>
        <row r="94">
          <cell r="A94">
            <v>140400</v>
          </cell>
        </row>
        <row r="95">
          <cell r="A95">
            <v>140405</v>
          </cell>
        </row>
        <row r="96">
          <cell r="A96">
            <v>140410</v>
          </cell>
        </row>
        <row r="97">
          <cell r="A97">
            <v>140420</v>
          </cell>
        </row>
        <row r="98">
          <cell r="A98">
            <v>140450</v>
          </cell>
        </row>
        <row r="99">
          <cell r="A99">
            <v>140455</v>
          </cell>
        </row>
        <row r="100">
          <cell r="A100">
            <v>140470</v>
          </cell>
        </row>
        <row r="101">
          <cell r="A101">
            <v>140490</v>
          </cell>
        </row>
        <row r="102">
          <cell r="A102">
            <v>140500</v>
          </cell>
        </row>
        <row r="103">
          <cell r="A103">
            <v>140550</v>
          </cell>
        </row>
        <row r="104">
          <cell r="A104">
            <v>140600</v>
          </cell>
        </row>
        <row r="105">
          <cell r="A105">
            <v>140650</v>
          </cell>
        </row>
        <row r="106">
          <cell r="A106">
            <v>140700</v>
          </cell>
        </row>
        <row r="107">
          <cell r="A107">
            <v>140750</v>
          </cell>
        </row>
        <row r="108">
          <cell r="A108">
            <v>140800</v>
          </cell>
        </row>
        <row r="109">
          <cell r="A109">
            <v>140805</v>
          </cell>
        </row>
        <row r="110">
          <cell r="A110">
            <v>140810</v>
          </cell>
        </row>
        <row r="111">
          <cell r="A111">
            <v>140850</v>
          </cell>
        </row>
        <row r="112">
          <cell r="A112">
            <v>140900</v>
          </cell>
        </row>
        <row r="113">
          <cell r="A113">
            <v>140990</v>
          </cell>
        </row>
        <row r="114">
          <cell r="A114">
            <v>145000</v>
          </cell>
        </row>
        <row r="115">
          <cell r="A115">
            <v>145005</v>
          </cell>
        </row>
        <row r="116">
          <cell r="A116">
            <v>145020</v>
          </cell>
        </row>
        <row r="117">
          <cell r="A117">
            <v>145035</v>
          </cell>
        </row>
        <row r="118">
          <cell r="A118">
            <v>145050</v>
          </cell>
        </row>
        <row r="119">
          <cell r="A119">
            <v>145065</v>
          </cell>
        </row>
        <row r="120">
          <cell r="A120">
            <v>145080</v>
          </cell>
        </row>
        <row r="121">
          <cell r="A121">
            <v>145099</v>
          </cell>
        </row>
        <row r="122">
          <cell r="A122">
            <v>150000</v>
          </cell>
        </row>
        <row r="123">
          <cell r="A123">
            <v>151000</v>
          </cell>
        </row>
        <row r="124">
          <cell r="A124">
            <v>151001</v>
          </cell>
        </row>
        <row r="125">
          <cell r="A125">
            <v>151005</v>
          </cell>
        </row>
        <row r="126">
          <cell r="A126">
            <v>151013</v>
          </cell>
        </row>
        <row r="127">
          <cell r="A127">
            <v>151021</v>
          </cell>
        </row>
        <row r="128">
          <cell r="A128">
            <v>151029</v>
          </cell>
        </row>
        <row r="129">
          <cell r="A129">
            <v>151037</v>
          </cell>
        </row>
        <row r="130">
          <cell r="A130">
            <v>151045</v>
          </cell>
        </row>
        <row r="131">
          <cell r="A131">
            <v>151053</v>
          </cell>
        </row>
        <row r="132">
          <cell r="A132">
            <v>151061</v>
          </cell>
        </row>
        <row r="133">
          <cell r="A133">
            <v>151069</v>
          </cell>
        </row>
        <row r="134">
          <cell r="A134">
            <v>151077</v>
          </cell>
        </row>
        <row r="135">
          <cell r="A135">
            <v>151085</v>
          </cell>
        </row>
        <row r="136">
          <cell r="A136">
            <v>151093</v>
          </cell>
        </row>
        <row r="137">
          <cell r="A137">
            <v>151101</v>
          </cell>
        </row>
        <row r="138">
          <cell r="A138">
            <v>151109</v>
          </cell>
        </row>
        <row r="139">
          <cell r="A139">
            <v>151117</v>
          </cell>
        </row>
        <row r="140">
          <cell r="A140">
            <v>151125</v>
          </cell>
        </row>
        <row r="141">
          <cell r="A141">
            <v>151133</v>
          </cell>
        </row>
        <row r="142">
          <cell r="A142">
            <v>151141</v>
          </cell>
        </row>
        <row r="143">
          <cell r="A143">
            <v>151149</v>
          </cell>
        </row>
        <row r="144">
          <cell r="A144">
            <v>151157</v>
          </cell>
        </row>
        <row r="145">
          <cell r="A145">
            <v>151165</v>
          </cell>
        </row>
        <row r="146">
          <cell r="A146">
            <v>151173</v>
          </cell>
        </row>
        <row r="147">
          <cell r="A147">
            <v>151181</v>
          </cell>
        </row>
        <row r="148">
          <cell r="A148">
            <v>151185</v>
          </cell>
        </row>
        <row r="149">
          <cell r="A149">
            <v>151189</v>
          </cell>
        </row>
        <row r="150">
          <cell r="A150">
            <v>151197</v>
          </cell>
        </row>
        <row r="151">
          <cell r="A151">
            <v>151205</v>
          </cell>
        </row>
        <row r="152">
          <cell r="A152">
            <v>151213</v>
          </cell>
        </row>
        <row r="153">
          <cell r="A153">
            <v>151221</v>
          </cell>
        </row>
        <row r="154">
          <cell r="A154">
            <v>151229</v>
          </cell>
        </row>
        <row r="155">
          <cell r="A155">
            <v>151237</v>
          </cell>
        </row>
        <row r="156">
          <cell r="A156">
            <v>151245</v>
          </cell>
        </row>
        <row r="157">
          <cell r="A157">
            <v>151253</v>
          </cell>
        </row>
        <row r="158">
          <cell r="A158">
            <v>151261</v>
          </cell>
        </row>
        <row r="159">
          <cell r="A159">
            <v>151269</v>
          </cell>
        </row>
        <row r="160">
          <cell r="A160">
            <v>151277</v>
          </cell>
        </row>
        <row r="161">
          <cell r="A161">
            <v>151285</v>
          </cell>
        </row>
        <row r="162">
          <cell r="A162">
            <v>151293</v>
          </cell>
        </row>
        <row r="163">
          <cell r="A163">
            <v>151301</v>
          </cell>
        </row>
        <row r="164">
          <cell r="A164">
            <v>151309</v>
          </cell>
        </row>
        <row r="165">
          <cell r="A165">
            <v>151317</v>
          </cell>
        </row>
        <row r="166">
          <cell r="A166">
            <v>151325</v>
          </cell>
        </row>
        <row r="167">
          <cell r="A167">
            <v>151333</v>
          </cell>
        </row>
        <row r="168">
          <cell r="A168">
            <v>151341</v>
          </cell>
        </row>
        <row r="169">
          <cell r="A169">
            <v>151349</v>
          </cell>
        </row>
        <row r="170">
          <cell r="A170">
            <v>151357</v>
          </cell>
        </row>
        <row r="171">
          <cell r="A171">
            <v>151365</v>
          </cell>
        </row>
        <row r="172">
          <cell r="A172">
            <v>151373</v>
          </cell>
        </row>
        <row r="173">
          <cell r="A173">
            <v>151381</v>
          </cell>
        </row>
        <row r="174">
          <cell r="A174">
            <v>151389</v>
          </cell>
        </row>
        <row r="175">
          <cell r="A175">
            <v>151397</v>
          </cell>
        </row>
        <row r="176">
          <cell r="A176">
            <v>151405</v>
          </cell>
        </row>
        <row r="177">
          <cell r="A177">
            <v>151413</v>
          </cell>
        </row>
        <row r="178">
          <cell r="A178">
            <v>151421</v>
          </cell>
        </row>
        <row r="179">
          <cell r="A179">
            <v>151429</v>
          </cell>
        </row>
        <row r="180">
          <cell r="A180">
            <v>151437</v>
          </cell>
        </row>
        <row r="181">
          <cell r="A181">
            <v>151445</v>
          </cell>
        </row>
        <row r="182">
          <cell r="A182">
            <v>151453</v>
          </cell>
        </row>
        <row r="183">
          <cell r="A183">
            <v>151461</v>
          </cell>
        </row>
        <row r="184">
          <cell r="A184">
            <v>151469</v>
          </cell>
        </row>
        <row r="185">
          <cell r="A185">
            <v>151477</v>
          </cell>
        </row>
        <row r="186">
          <cell r="A186">
            <v>151485</v>
          </cell>
        </row>
        <row r="187">
          <cell r="A187">
            <v>151493</v>
          </cell>
        </row>
        <row r="188">
          <cell r="A188">
            <v>151501</v>
          </cell>
        </row>
        <row r="189">
          <cell r="A189">
            <v>151505</v>
          </cell>
        </row>
        <row r="190">
          <cell r="A190">
            <v>151509</v>
          </cell>
        </row>
        <row r="191">
          <cell r="A191">
            <v>151517</v>
          </cell>
        </row>
        <row r="192">
          <cell r="A192">
            <v>151525</v>
          </cell>
        </row>
        <row r="193">
          <cell r="A193">
            <v>151533</v>
          </cell>
        </row>
        <row r="194">
          <cell r="A194">
            <v>151541</v>
          </cell>
        </row>
        <row r="195">
          <cell r="A195">
            <v>151549</v>
          </cell>
        </row>
        <row r="196">
          <cell r="A196">
            <v>151557</v>
          </cell>
        </row>
        <row r="197">
          <cell r="A197">
            <v>151565</v>
          </cell>
        </row>
        <row r="198">
          <cell r="A198">
            <v>151573</v>
          </cell>
        </row>
        <row r="199">
          <cell r="A199">
            <v>151581</v>
          </cell>
        </row>
        <row r="200">
          <cell r="A200">
            <v>151589</v>
          </cell>
        </row>
        <row r="201">
          <cell r="A201">
            <v>151597</v>
          </cell>
        </row>
        <row r="202">
          <cell r="A202">
            <v>151605</v>
          </cell>
        </row>
        <row r="203">
          <cell r="A203">
            <v>151613</v>
          </cell>
        </row>
        <row r="204">
          <cell r="A204">
            <v>151621</v>
          </cell>
        </row>
        <row r="205">
          <cell r="A205">
            <v>151629</v>
          </cell>
        </row>
        <row r="206">
          <cell r="A206">
            <v>151637</v>
          </cell>
        </row>
        <row r="207">
          <cell r="A207">
            <v>151645</v>
          </cell>
        </row>
        <row r="208">
          <cell r="A208">
            <v>151653</v>
          </cell>
        </row>
        <row r="209">
          <cell r="A209">
            <v>151661</v>
          </cell>
        </row>
        <row r="210">
          <cell r="A210">
            <v>151669</v>
          </cell>
        </row>
        <row r="211">
          <cell r="A211">
            <v>151677</v>
          </cell>
        </row>
        <row r="212">
          <cell r="A212">
            <v>151685</v>
          </cell>
        </row>
        <row r="213">
          <cell r="A213">
            <v>151693</v>
          </cell>
        </row>
        <row r="214">
          <cell r="A214">
            <v>151701</v>
          </cell>
        </row>
        <row r="215">
          <cell r="A215">
            <v>151709</v>
          </cell>
        </row>
        <row r="216">
          <cell r="A216">
            <v>151717</v>
          </cell>
        </row>
        <row r="217">
          <cell r="A217">
            <v>151725</v>
          </cell>
        </row>
        <row r="218">
          <cell r="A218">
            <v>151733</v>
          </cell>
        </row>
        <row r="219">
          <cell r="A219">
            <v>151741</v>
          </cell>
        </row>
        <row r="220">
          <cell r="A220">
            <v>151749</v>
          </cell>
        </row>
        <row r="221">
          <cell r="A221">
            <v>151757</v>
          </cell>
        </row>
        <row r="222">
          <cell r="A222">
            <v>151765</v>
          </cell>
        </row>
        <row r="223">
          <cell r="A223">
            <v>151773</v>
          </cell>
        </row>
        <row r="224">
          <cell r="A224">
            <v>151781</v>
          </cell>
        </row>
        <row r="225">
          <cell r="A225">
            <v>151789</v>
          </cell>
        </row>
        <row r="226">
          <cell r="A226">
            <v>151797</v>
          </cell>
        </row>
        <row r="227">
          <cell r="A227">
            <v>151805</v>
          </cell>
        </row>
        <row r="228">
          <cell r="A228">
            <v>151813</v>
          </cell>
        </row>
        <row r="229">
          <cell r="A229">
            <v>151821</v>
          </cell>
        </row>
        <row r="230">
          <cell r="A230">
            <v>151829</v>
          </cell>
        </row>
        <row r="231">
          <cell r="A231">
            <v>151837</v>
          </cell>
        </row>
        <row r="232">
          <cell r="A232">
            <v>151845</v>
          </cell>
        </row>
        <row r="233">
          <cell r="A233">
            <v>151853</v>
          </cell>
        </row>
        <row r="234">
          <cell r="A234">
            <v>151861</v>
          </cell>
        </row>
        <row r="235">
          <cell r="A235">
            <v>151869</v>
          </cell>
        </row>
        <row r="236">
          <cell r="A236">
            <v>151877</v>
          </cell>
        </row>
        <row r="237">
          <cell r="A237">
            <v>151885</v>
          </cell>
        </row>
        <row r="238">
          <cell r="A238">
            <v>151893</v>
          </cell>
        </row>
        <row r="239">
          <cell r="A239">
            <v>151901</v>
          </cell>
        </row>
        <row r="240">
          <cell r="A240">
            <v>151909</v>
          </cell>
        </row>
        <row r="241">
          <cell r="A241">
            <v>151999</v>
          </cell>
        </row>
        <row r="242">
          <cell r="A242">
            <v>152000</v>
          </cell>
        </row>
        <row r="243">
          <cell r="A243">
            <v>152001</v>
          </cell>
        </row>
        <row r="244">
          <cell r="A244">
            <v>152005</v>
          </cell>
        </row>
        <row r="245">
          <cell r="A245">
            <v>152013</v>
          </cell>
        </row>
        <row r="246">
          <cell r="A246">
            <v>152021</v>
          </cell>
        </row>
        <row r="247">
          <cell r="A247">
            <v>152029</v>
          </cell>
        </row>
        <row r="248">
          <cell r="A248">
            <v>152037</v>
          </cell>
        </row>
        <row r="249">
          <cell r="A249">
            <v>152045</v>
          </cell>
        </row>
        <row r="250">
          <cell r="A250">
            <v>152053</v>
          </cell>
        </row>
        <row r="251">
          <cell r="A251">
            <v>152061</v>
          </cell>
        </row>
        <row r="252">
          <cell r="A252">
            <v>152069</v>
          </cell>
        </row>
        <row r="253">
          <cell r="A253">
            <v>152077</v>
          </cell>
        </row>
        <row r="254">
          <cell r="A254">
            <v>152085</v>
          </cell>
        </row>
        <row r="255">
          <cell r="A255">
            <v>152093</v>
          </cell>
        </row>
        <row r="256">
          <cell r="A256">
            <v>152101</v>
          </cell>
        </row>
        <row r="257">
          <cell r="A257">
            <v>152109</v>
          </cell>
        </row>
        <row r="258">
          <cell r="A258">
            <v>152117</v>
          </cell>
        </row>
        <row r="259">
          <cell r="A259">
            <v>152141</v>
          </cell>
        </row>
        <row r="260">
          <cell r="A260">
            <v>152149</v>
          </cell>
        </row>
        <row r="261">
          <cell r="A261">
            <v>152157</v>
          </cell>
        </row>
        <row r="262">
          <cell r="A262">
            <v>152165</v>
          </cell>
        </row>
        <row r="263">
          <cell r="A263">
            <v>152189</v>
          </cell>
        </row>
        <row r="264">
          <cell r="A264">
            <v>152197</v>
          </cell>
        </row>
        <row r="265">
          <cell r="A265">
            <v>152205</v>
          </cell>
        </row>
        <row r="266">
          <cell r="A266">
            <v>152213</v>
          </cell>
        </row>
        <row r="267">
          <cell r="A267">
            <v>152221</v>
          </cell>
        </row>
        <row r="268">
          <cell r="A268">
            <v>152229</v>
          </cell>
        </row>
        <row r="269">
          <cell r="A269">
            <v>152245</v>
          </cell>
        </row>
        <row r="270">
          <cell r="A270">
            <v>152261</v>
          </cell>
        </row>
        <row r="271">
          <cell r="A271">
            <v>152269</v>
          </cell>
        </row>
        <row r="272">
          <cell r="A272">
            <v>152293</v>
          </cell>
        </row>
        <row r="273">
          <cell r="A273">
            <v>152317</v>
          </cell>
        </row>
        <row r="274">
          <cell r="A274">
            <v>152325</v>
          </cell>
        </row>
        <row r="275">
          <cell r="A275">
            <v>152333</v>
          </cell>
        </row>
        <row r="276">
          <cell r="A276">
            <v>152341</v>
          </cell>
        </row>
        <row r="277">
          <cell r="A277">
            <v>152349</v>
          </cell>
        </row>
        <row r="278">
          <cell r="A278">
            <v>152357</v>
          </cell>
        </row>
        <row r="279">
          <cell r="A279">
            <v>152373</v>
          </cell>
        </row>
        <row r="280">
          <cell r="A280">
            <v>152381</v>
          </cell>
        </row>
        <row r="281">
          <cell r="A281">
            <v>152413</v>
          </cell>
        </row>
        <row r="282">
          <cell r="A282">
            <v>152421</v>
          </cell>
        </row>
        <row r="283">
          <cell r="A283">
            <v>152429</v>
          </cell>
        </row>
        <row r="284">
          <cell r="A284">
            <v>152453</v>
          </cell>
        </row>
        <row r="285">
          <cell r="A285">
            <v>152461</v>
          </cell>
        </row>
        <row r="286">
          <cell r="A286">
            <v>152469</v>
          </cell>
        </row>
        <row r="287">
          <cell r="A287">
            <v>152477</v>
          </cell>
        </row>
        <row r="288">
          <cell r="A288">
            <v>152509</v>
          </cell>
        </row>
        <row r="289">
          <cell r="A289">
            <v>152517</v>
          </cell>
        </row>
        <row r="290">
          <cell r="A290">
            <v>152533</v>
          </cell>
        </row>
        <row r="291">
          <cell r="A291">
            <v>152541</v>
          </cell>
        </row>
        <row r="292">
          <cell r="A292">
            <v>152549</v>
          </cell>
        </row>
        <row r="293">
          <cell r="A293">
            <v>152557</v>
          </cell>
        </row>
        <row r="294">
          <cell r="A294">
            <v>152565</v>
          </cell>
        </row>
        <row r="295">
          <cell r="A295">
            <v>152573</v>
          </cell>
        </row>
        <row r="296">
          <cell r="A296">
            <v>152581</v>
          </cell>
        </row>
        <row r="297">
          <cell r="A297">
            <v>152613</v>
          </cell>
        </row>
        <row r="298">
          <cell r="A298">
            <v>152621</v>
          </cell>
        </row>
        <row r="299">
          <cell r="A299">
            <v>152629</v>
          </cell>
        </row>
        <row r="300">
          <cell r="A300">
            <v>152661</v>
          </cell>
        </row>
        <row r="301">
          <cell r="A301">
            <v>152677</v>
          </cell>
        </row>
        <row r="302">
          <cell r="A302">
            <v>152701</v>
          </cell>
        </row>
        <row r="303">
          <cell r="A303">
            <v>152725</v>
          </cell>
        </row>
        <row r="304">
          <cell r="A304">
            <v>152733</v>
          </cell>
        </row>
        <row r="305">
          <cell r="A305">
            <v>152773</v>
          </cell>
        </row>
        <row r="306">
          <cell r="A306">
            <v>152781</v>
          </cell>
        </row>
        <row r="307">
          <cell r="A307">
            <v>152853</v>
          </cell>
        </row>
        <row r="308">
          <cell r="A308">
            <v>152877</v>
          </cell>
        </row>
        <row r="309">
          <cell r="A309">
            <v>152885</v>
          </cell>
        </row>
        <row r="310">
          <cell r="A310">
            <v>152893</v>
          </cell>
        </row>
        <row r="311">
          <cell r="A311">
            <v>152901</v>
          </cell>
        </row>
        <row r="312">
          <cell r="A312">
            <v>152909</v>
          </cell>
        </row>
        <row r="313">
          <cell r="A313">
            <v>152999</v>
          </cell>
        </row>
        <row r="314">
          <cell r="A314">
            <v>153000</v>
          </cell>
        </row>
        <row r="315">
          <cell r="A315">
            <v>153001</v>
          </cell>
        </row>
        <row r="316">
          <cell r="A316">
            <v>153005</v>
          </cell>
        </row>
        <row r="317">
          <cell r="A317">
            <v>153013</v>
          </cell>
        </row>
        <row r="318">
          <cell r="A318">
            <v>153021</v>
          </cell>
        </row>
        <row r="319">
          <cell r="A319">
            <v>153029</v>
          </cell>
        </row>
        <row r="320">
          <cell r="A320">
            <v>153037</v>
          </cell>
        </row>
        <row r="321">
          <cell r="A321">
            <v>153045</v>
          </cell>
        </row>
        <row r="322">
          <cell r="A322">
            <v>153053</v>
          </cell>
        </row>
        <row r="323">
          <cell r="A323">
            <v>153061</v>
          </cell>
        </row>
        <row r="324">
          <cell r="A324">
            <v>153069</v>
          </cell>
        </row>
        <row r="325">
          <cell r="A325">
            <v>153077</v>
          </cell>
        </row>
        <row r="326">
          <cell r="A326">
            <v>153085</v>
          </cell>
        </row>
        <row r="327">
          <cell r="A327">
            <v>153093</v>
          </cell>
        </row>
        <row r="328">
          <cell r="A328">
            <v>153101</v>
          </cell>
        </row>
        <row r="329">
          <cell r="A329">
            <v>153109</v>
          </cell>
        </row>
        <row r="330">
          <cell r="A330">
            <v>153117</v>
          </cell>
        </row>
        <row r="331">
          <cell r="A331">
            <v>153125</v>
          </cell>
        </row>
        <row r="332">
          <cell r="A332">
            <v>153133</v>
          </cell>
        </row>
        <row r="333">
          <cell r="A333">
            <v>153141</v>
          </cell>
        </row>
        <row r="334">
          <cell r="A334">
            <v>153149</v>
          </cell>
        </row>
        <row r="335">
          <cell r="A335">
            <v>153157</v>
          </cell>
        </row>
        <row r="336">
          <cell r="A336">
            <v>153165</v>
          </cell>
        </row>
        <row r="337">
          <cell r="A337">
            <v>153173</v>
          </cell>
        </row>
        <row r="338">
          <cell r="A338">
            <v>153181</v>
          </cell>
        </row>
        <row r="339">
          <cell r="A339">
            <v>153189</v>
          </cell>
        </row>
        <row r="340">
          <cell r="A340">
            <v>153197</v>
          </cell>
        </row>
        <row r="341">
          <cell r="A341">
            <v>153205</v>
          </cell>
        </row>
        <row r="342">
          <cell r="A342">
            <v>153213</v>
          </cell>
        </row>
        <row r="343">
          <cell r="A343">
            <v>153221</v>
          </cell>
        </row>
        <row r="344">
          <cell r="A344">
            <v>153229</v>
          </cell>
        </row>
        <row r="345">
          <cell r="A345">
            <v>153237</v>
          </cell>
        </row>
        <row r="346">
          <cell r="A346">
            <v>153245</v>
          </cell>
        </row>
        <row r="347">
          <cell r="A347">
            <v>153253</v>
          </cell>
        </row>
        <row r="348">
          <cell r="A348">
            <v>153261</v>
          </cell>
        </row>
        <row r="349">
          <cell r="A349">
            <v>153269</v>
          </cell>
        </row>
        <row r="350">
          <cell r="A350">
            <v>153277</v>
          </cell>
        </row>
        <row r="351">
          <cell r="A351">
            <v>153285</v>
          </cell>
        </row>
        <row r="352">
          <cell r="A352">
            <v>153293</v>
          </cell>
        </row>
        <row r="353">
          <cell r="A353">
            <v>153301</v>
          </cell>
        </row>
        <row r="354">
          <cell r="A354">
            <v>153309</v>
          </cell>
        </row>
        <row r="355">
          <cell r="A355">
            <v>153317</v>
          </cell>
        </row>
        <row r="356">
          <cell r="A356">
            <v>153325</v>
          </cell>
        </row>
        <row r="357">
          <cell r="A357">
            <v>153333</v>
          </cell>
        </row>
        <row r="358">
          <cell r="A358">
            <v>153341</v>
          </cell>
        </row>
        <row r="359">
          <cell r="A359">
            <v>153349</v>
          </cell>
        </row>
        <row r="360">
          <cell r="A360">
            <v>153357</v>
          </cell>
        </row>
        <row r="361">
          <cell r="A361">
            <v>153365</v>
          </cell>
        </row>
        <row r="362">
          <cell r="A362">
            <v>153373</v>
          </cell>
        </row>
        <row r="363">
          <cell r="A363">
            <v>153381</v>
          </cell>
        </row>
        <row r="364">
          <cell r="A364">
            <v>153389</v>
          </cell>
        </row>
        <row r="365">
          <cell r="A365">
            <v>153397</v>
          </cell>
        </row>
        <row r="366">
          <cell r="A366">
            <v>153405</v>
          </cell>
        </row>
        <row r="367">
          <cell r="A367">
            <v>153413</v>
          </cell>
        </row>
        <row r="368">
          <cell r="A368">
            <v>153421</v>
          </cell>
        </row>
        <row r="369">
          <cell r="A369">
            <v>153429</v>
          </cell>
        </row>
        <row r="370">
          <cell r="A370">
            <v>153437</v>
          </cell>
        </row>
        <row r="371">
          <cell r="A371">
            <v>153445</v>
          </cell>
        </row>
        <row r="372">
          <cell r="A372">
            <v>153453</v>
          </cell>
        </row>
        <row r="373">
          <cell r="A373">
            <v>153461</v>
          </cell>
        </row>
        <row r="374">
          <cell r="A374">
            <v>153469</v>
          </cell>
        </row>
        <row r="375">
          <cell r="A375">
            <v>153477</v>
          </cell>
        </row>
        <row r="376">
          <cell r="A376">
            <v>153485</v>
          </cell>
        </row>
        <row r="377">
          <cell r="A377">
            <v>153493</v>
          </cell>
        </row>
        <row r="378">
          <cell r="A378">
            <v>153501</v>
          </cell>
        </row>
        <row r="379">
          <cell r="A379">
            <v>153509</v>
          </cell>
        </row>
        <row r="380">
          <cell r="A380">
            <v>153517</v>
          </cell>
        </row>
        <row r="381">
          <cell r="A381">
            <v>153525</v>
          </cell>
        </row>
        <row r="382">
          <cell r="A382">
            <v>153533</v>
          </cell>
        </row>
        <row r="383">
          <cell r="A383">
            <v>153541</v>
          </cell>
        </row>
        <row r="384">
          <cell r="A384">
            <v>153557</v>
          </cell>
        </row>
        <row r="385">
          <cell r="A385">
            <v>153589</v>
          </cell>
        </row>
        <row r="386">
          <cell r="A386">
            <v>153597</v>
          </cell>
        </row>
        <row r="387">
          <cell r="A387">
            <v>153605</v>
          </cell>
        </row>
        <row r="388">
          <cell r="A388">
            <v>153613</v>
          </cell>
        </row>
        <row r="389">
          <cell r="A389">
            <v>153621</v>
          </cell>
        </row>
        <row r="390">
          <cell r="A390">
            <v>153629</v>
          </cell>
        </row>
        <row r="391">
          <cell r="A391">
            <v>153637</v>
          </cell>
        </row>
        <row r="392">
          <cell r="A392">
            <v>153645</v>
          </cell>
        </row>
        <row r="393">
          <cell r="A393">
            <v>153653</v>
          </cell>
        </row>
        <row r="394">
          <cell r="A394">
            <v>153661</v>
          </cell>
        </row>
        <row r="395">
          <cell r="A395">
            <v>153669</v>
          </cell>
        </row>
        <row r="396">
          <cell r="A396">
            <v>153677</v>
          </cell>
        </row>
        <row r="397">
          <cell r="A397">
            <v>153685</v>
          </cell>
        </row>
        <row r="398">
          <cell r="A398">
            <v>153693</v>
          </cell>
        </row>
        <row r="399">
          <cell r="A399">
            <v>153701</v>
          </cell>
        </row>
        <row r="400">
          <cell r="A400">
            <v>153709</v>
          </cell>
        </row>
        <row r="401">
          <cell r="A401">
            <v>153717</v>
          </cell>
        </row>
        <row r="402">
          <cell r="A402">
            <v>153725</v>
          </cell>
        </row>
        <row r="403">
          <cell r="A403">
            <v>153733</v>
          </cell>
        </row>
        <row r="404">
          <cell r="A404">
            <v>153741</v>
          </cell>
        </row>
        <row r="405">
          <cell r="A405">
            <v>153749</v>
          </cell>
        </row>
        <row r="406">
          <cell r="A406">
            <v>153757</v>
          </cell>
        </row>
        <row r="407">
          <cell r="A407">
            <v>153765</v>
          </cell>
        </row>
        <row r="408">
          <cell r="A408">
            <v>153773</v>
          </cell>
        </row>
        <row r="409">
          <cell r="A409">
            <v>153781</v>
          </cell>
        </row>
        <row r="410">
          <cell r="A410">
            <v>153789</v>
          </cell>
        </row>
        <row r="411">
          <cell r="A411">
            <v>153797</v>
          </cell>
        </row>
        <row r="412">
          <cell r="A412">
            <v>153805</v>
          </cell>
        </row>
        <row r="413">
          <cell r="A413">
            <v>153813</v>
          </cell>
        </row>
        <row r="414">
          <cell r="A414">
            <v>153821</v>
          </cell>
        </row>
        <row r="415">
          <cell r="A415">
            <v>153837</v>
          </cell>
        </row>
        <row r="416">
          <cell r="A416">
            <v>153845</v>
          </cell>
        </row>
        <row r="417">
          <cell r="A417">
            <v>153861</v>
          </cell>
        </row>
        <row r="418">
          <cell r="A418">
            <v>153869</v>
          </cell>
        </row>
        <row r="419">
          <cell r="A419">
            <v>153885</v>
          </cell>
        </row>
        <row r="420">
          <cell r="A420">
            <v>153893</v>
          </cell>
        </row>
        <row r="421">
          <cell r="A421">
            <v>153901</v>
          </cell>
        </row>
        <row r="422">
          <cell r="A422">
            <v>153909</v>
          </cell>
        </row>
        <row r="423">
          <cell r="A423">
            <v>153999</v>
          </cell>
        </row>
        <row r="424">
          <cell r="A424">
            <v>154000</v>
          </cell>
        </row>
        <row r="425">
          <cell r="A425">
            <v>154005</v>
          </cell>
        </row>
        <row r="426">
          <cell r="A426">
            <v>154013</v>
          </cell>
        </row>
        <row r="427">
          <cell r="A427">
            <v>154021</v>
          </cell>
        </row>
        <row r="428">
          <cell r="A428">
            <v>154029</v>
          </cell>
        </row>
        <row r="429">
          <cell r="A429">
            <v>154037</v>
          </cell>
        </row>
        <row r="430">
          <cell r="A430">
            <v>154045</v>
          </cell>
        </row>
        <row r="431">
          <cell r="A431">
            <v>154053</v>
          </cell>
        </row>
        <row r="432">
          <cell r="A432">
            <v>154077</v>
          </cell>
        </row>
        <row r="433">
          <cell r="A433">
            <v>154085</v>
          </cell>
        </row>
        <row r="434">
          <cell r="A434">
            <v>154093</v>
          </cell>
        </row>
        <row r="435">
          <cell r="A435">
            <v>154101</v>
          </cell>
        </row>
        <row r="436">
          <cell r="A436">
            <v>154109</v>
          </cell>
        </row>
        <row r="437">
          <cell r="A437">
            <v>154117</v>
          </cell>
        </row>
        <row r="438">
          <cell r="A438">
            <v>154125</v>
          </cell>
        </row>
        <row r="439">
          <cell r="A439">
            <v>154133</v>
          </cell>
        </row>
        <row r="440">
          <cell r="A440">
            <v>154141</v>
          </cell>
        </row>
        <row r="441">
          <cell r="A441">
            <v>154149</v>
          </cell>
        </row>
        <row r="442">
          <cell r="A442">
            <v>154157</v>
          </cell>
        </row>
        <row r="443">
          <cell r="A443">
            <v>154165</v>
          </cell>
        </row>
        <row r="444">
          <cell r="A444">
            <v>154189</v>
          </cell>
        </row>
        <row r="445">
          <cell r="A445">
            <v>154197</v>
          </cell>
        </row>
        <row r="446">
          <cell r="A446">
            <v>154205</v>
          </cell>
        </row>
        <row r="447">
          <cell r="A447">
            <v>154213</v>
          </cell>
        </row>
        <row r="448">
          <cell r="A448">
            <v>154221</v>
          </cell>
        </row>
        <row r="449">
          <cell r="A449">
            <v>154229</v>
          </cell>
        </row>
        <row r="450">
          <cell r="A450">
            <v>154237</v>
          </cell>
        </row>
        <row r="451">
          <cell r="A451">
            <v>154245</v>
          </cell>
        </row>
        <row r="452">
          <cell r="A452">
            <v>154261</v>
          </cell>
        </row>
        <row r="453">
          <cell r="A453">
            <v>154269</v>
          </cell>
        </row>
        <row r="454">
          <cell r="A454">
            <v>154277</v>
          </cell>
        </row>
        <row r="455">
          <cell r="A455">
            <v>154293</v>
          </cell>
        </row>
        <row r="456">
          <cell r="A456">
            <v>154317</v>
          </cell>
        </row>
        <row r="457">
          <cell r="A457">
            <v>154325</v>
          </cell>
        </row>
        <row r="458">
          <cell r="A458">
            <v>154333</v>
          </cell>
        </row>
        <row r="459">
          <cell r="A459">
            <v>154341</v>
          </cell>
        </row>
        <row r="460">
          <cell r="A460">
            <v>154349</v>
          </cell>
        </row>
        <row r="461">
          <cell r="A461">
            <v>154357</v>
          </cell>
        </row>
        <row r="462">
          <cell r="A462">
            <v>154365</v>
          </cell>
        </row>
        <row r="463">
          <cell r="A463">
            <v>154373</v>
          </cell>
        </row>
        <row r="464">
          <cell r="A464">
            <v>154389</v>
          </cell>
        </row>
        <row r="465">
          <cell r="A465">
            <v>154413</v>
          </cell>
        </row>
        <row r="466">
          <cell r="A466">
            <v>154421</v>
          </cell>
        </row>
        <row r="467">
          <cell r="A467">
            <v>154429</v>
          </cell>
        </row>
        <row r="468">
          <cell r="A468">
            <v>154453</v>
          </cell>
        </row>
        <row r="469">
          <cell r="A469">
            <v>154461</v>
          </cell>
        </row>
        <row r="470">
          <cell r="A470">
            <v>154469</v>
          </cell>
        </row>
        <row r="471">
          <cell r="A471">
            <v>154477</v>
          </cell>
        </row>
        <row r="472">
          <cell r="A472">
            <v>154493</v>
          </cell>
        </row>
        <row r="473">
          <cell r="A473">
            <v>154509</v>
          </cell>
        </row>
        <row r="474">
          <cell r="A474">
            <v>154517</v>
          </cell>
        </row>
        <row r="475">
          <cell r="A475">
            <v>154541</v>
          </cell>
        </row>
        <row r="476">
          <cell r="A476">
            <v>154557</v>
          </cell>
        </row>
        <row r="477">
          <cell r="A477">
            <v>154589</v>
          </cell>
        </row>
        <row r="478">
          <cell r="A478">
            <v>154613</v>
          </cell>
        </row>
        <row r="479">
          <cell r="A479">
            <v>154621</v>
          </cell>
        </row>
        <row r="480">
          <cell r="A480">
            <v>154629</v>
          </cell>
        </row>
        <row r="481">
          <cell r="A481">
            <v>154653</v>
          </cell>
        </row>
        <row r="482">
          <cell r="A482">
            <v>154661</v>
          </cell>
        </row>
        <row r="483">
          <cell r="A483">
            <v>154669</v>
          </cell>
        </row>
        <row r="484">
          <cell r="A484">
            <v>154677</v>
          </cell>
        </row>
        <row r="485">
          <cell r="A485">
            <v>154701</v>
          </cell>
        </row>
        <row r="486">
          <cell r="A486">
            <v>154717</v>
          </cell>
        </row>
        <row r="487">
          <cell r="A487">
            <v>154725</v>
          </cell>
        </row>
        <row r="488">
          <cell r="A488">
            <v>154733</v>
          </cell>
        </row>
        <row r="489">
          <cell r="A489">
            <v>154741</v>
          </cell>
        </row>
        <row r="490">
          <cell r="A490">
            <v>154749</v>
          </cell>
        </row>
        <row r="491">
          <cell r="A491">
            <v>154757</v>
          </cell>
        </row>
        <row r="492">
          <cell r="A492">
            <v>154773</v>
          </cell>
        </row>
        <row r="493">
          <cell r="A493">
            <v>154781</v>
          </cell>
        </row>
        <row r="494">
          <cell r="A494">
            <v>154797</v>
          </cell>
        </row>
        <row r="495">
          <cell r="A495">
            <v>154829</v>
          </cell>
        </row>
        <row r="496">
          <cell r="A496">
            <v>154877</v>
          </cell>
        </row>
        <row r="497">
          <cell r="A497">
            <v>154885</v>
          </cell>
        </row>
        <row r="498">
          <cell r="A498">
            <v>154893</v>
          </cell>
        </row>
        <row r="499">
          <cell r="A499">
            <v>154901</v>
          </cell>
        </row>
        <row r="500">
          <cell r="A500">
            <v>154909</v>
          </cell>
        </row>
        <row r="501">
          <cell r="A501">
            <v>154999</v>
          </cell>
        </row>
        <row r="502">
          <cell r="A502">
            <v>159999</v>
          </cell>
        </row>
        <row r="503">
          <cell r="A503">
            <v>160000</v>
          </cell>
        </row>
        <row r="504">
          <cell r="A504">
            <v>160100</v>
          </cell>
        </row>
        <row r="505">
          <cell r="A505">
            <v>160990</v>
          </cell>
        </row>
        <row r="506">
          <cell r="A506">
            <v>170000</v>
          </cell>
        </row>
        <row r="507">
          <cell r="A507">
            <v>170005</v>
          </cell>
        </row>
        <row r="508">
          <cell r="A508">
            <v>170010</v>
          </cell>
        </row>
        <row r="509">
          <cell r="A509">
            <v>170015</v>
          </cell>
        </row>
        <row r="510">
          <cell r="A510">
            <v>170020</v>
          </cell>
        </row>
        <row r="511">
          <cell r="A511">
            <v>170025</v>
          </cell>
        </row>
        <row r="512">
          <cell r="A512">
            <v>170030</v>
          </cell>
        </row>
        <row r="513">
          <cell r="A513">
            <v>170035</v>
          </cell>
        </row>
        <row r="514">
          <cell r="A514">
            <v>170040</v>
          </cell>
        </row>
        <row r="515">
          <cell r="A515">
            <v>170045</v>
          </cell>
        </row>
        <row r="516">
          <cell r="A516">
            <v>170050</v>
          </cell>
        </row>
        <row r="517">
          <cell r="A517">
            <v>170055</v>
          </cell>
        </row>
        <row r="518">
          <cell r="A518">
            <v>170060</v>
          </cell>
        </row>
        <row r="519">
          <cell r="A519">
            <v>170065</v>
          </cell>
        </row>
        <row r="520">
          <cell r="A520">
            <v>170070</v>
          </cell>
        </row>
        <row r="521">
          <cell r="A521">
            <v>170075</v>
          </cell>
        </row>
        <row r="522">
          <cell r="A522">
            <v>170080</v>
          </cell>
        </row>
        <row r="523">
          <cell r="A523">
            <v>170085</v>
          </cell>
        </row>
        <row r="524">
          <cell r="A524">
            <v>170090</v>
          </cell>
        </row>
        <row r="525">
          <cell r="A525">
            <v>170095</v>
          </cell>
        </row>
        <row r="526">
          <cell r="A526">
            <v>170100</v>
          </cell>
        </row>
        <row r="527">
          <cell r="A527">
            <v>170105</v>
          </cell>
        </row>
        <row r="528">
          <cell r="A528">
            <v>170110</v>
          </cell>
        </row>
        <row r="529">
          <cell r="A529">
            <v>170115</v>
          </cell>
        </row>
        <row r="530">
          <cell r="A530">
            <v>170120</v>
          </cell>
        </row>
        <row r="531">
          <cell r="A531">
            <v>170125</v>
          </cell>
        </row>
        <row r="532">
          <cell r="A532">
            <v>170130</v>
          </cell>
        </row>
        <row r="533">
          <cell r="A533">
            <v>170135</v>
          </cell>
        </row>
        <row r="534">
          <cell r="A534">
            <v>170140</v>
          </cell>
        </row>
        <row r="535">
          <cell r="A535">
            <v>170145</v>
          </cell>
        </row>
        <row r="536">
          <cell r="A536">
            <v>170150</v>
          </cell>
        </row>
        <row r="537">
          <cell r="A537">
            <v>170155</v>
          </cell>
        </row>
        <row r="538">
          <cell r="A538">
            <v>170999</v>
          </cell>
        </row>
        <row r="539">
          <cell r="A539">
            <v>180000</v>
          </cell>
        </row>
        <row r="540">
          <cell r="A540">
            <v>180020</v>
          </cell>
        </row>
        <row r="541">
          <cell r="A541">
            <v>180022</v>
          </cell>
        </row>
        <row r="542">
          <cell r="A542">
            <v>180025</v>
          </cell>
        </row>
        <row r="543">
          <cell r="A543">
            <v>180050</v>
          </cell>
        </row>
        <row r="544">
          <cell r="A544">
            <v>180055</v>
          </cell>
        </row>
        <row r="545">
          <cell r="A545">
            <v>180056</v>
          </cell>
        </row>
        <row r="546">
          <cell r="A546">
            <v>180057</v>
          </cell>
        </row>
        <row r="547">
          <cell r="A547">
            <v>180058</v>
          </cell>
        </row>
        <row r="548">
          <cell r="A548">
            <v>180059</v>
          </cell>
        </row>
        <row r="549">
          <cell r="A549">
            <v>180070</v>
          </cell>
        </row>
        <row r="550">
          <cell r="A550">
            <v>180075</v>
          </cell>
        </row>
        <row r="551">
          <cell r="A551">
            <v>180100</v>
          </cell>
        </row>
        <row r="552">
          <cell r="A552">
            <v>180105</v>
          </cell>
        </row>
        <row r="553">
          <cell r="A553">
            <v>180115</v>
          </cell>
        </row>
        <row r="554">
          <cell r="A554">
            <v>180120</v>
          </cell>
        </row>
        <row r="555">
          <cell r="A555">
            <v>180125</v>
          </cell>
        </row>
        <row r="556">
          <cell r="A556">
            <v>180130</v>
          </cell>
        </row>
        <row r="557">
          <cell r="A557">
            <v>180140</v>
          </cell>
        </row>
        <row r="558">
          <cell r="A558">
            <v>180200</v>
          </cell>
        </row>
        <row r="559">
          <cell r="A559">
            <v>180520</v>
          </cell>
        </row>
        <row r="560">
          <cell r="A560">
            <v>180522</v>
          </cell>
        </row>
        <row r="561">
          <cell r="A561">
            <v>180550</v>
          </cell>
        </row>
        <row r="562">
          <cell r="A562">
            <v>180560</v>
          </cell>
        </row>
        <row r="563">
          <cell r="A563">
            <v>180600</v>
          </cell>
        </row>
        <row r="564">
          <cell r="A564">
            <v>180605</v>
          </cell>
        </row>
        <row r="565">
          <cell r="A565">
            <v>180615</v>
          </cell>
        </row>
        <row r="566">
          <cell r="A566">
            <v>180616</v>
          </cell>
        </row>
        <row r="567">
          <cell r="A567">
            <v>180617</v>
          </cell>
        </row>
        <row r="568">
          <cell r="A568">
            <v>180618</v>
          </cell>
        </row>
        <row r="569">
          <cell r="A569">
            <v>180619</v>
          </cell>
        </row>
        <row r="570">
          <cell r="A570">
            <v>180620</v>
          </cell>
        </row>
        <row r="571">
          <cell r="A571">
            <v>180622</v>
          </cell>
        </row>
        <row r="572">
          <cell r="A572">
            <v>180623</v>
          </cell>
        </row>
        <row r="573">
          <cell r="A573">
            <v>180990</v>
          </cell>
        </row>
        <row r="574">
          <cell r="A574">
            <v>190000</v>
          </cell>
        </row>
        <row r="575">
          <cell r="A575">
            <v>190050</v>
          </cell>
        </row>
        <row r="576">
          <cell r="A576">
            <v>190990</v>
          </cell>
        </row>
        <row r="577">
          <cell r="A577">
            <v>199990</v>
          </cell>
        </row>
        <row r="578">
          <cell r="A578">
            <v>200000</v>
          </cell>
        </row>
        <row r="579">
          <cell r="A579">
            <v>200001</v>
          </cell>
        </row>
        <row r="580">
          <cell r="A580">
            <v>200010</v>
          </cell>
        </row>
        <row r="581">
          <cell r="A581">
            <v>200100</v>
          </cell>
        </row>
        <row r="582">
          <cell r="A582">
            <v>200150</v>
          </cell>
        </row>
        <row r="583">
          <cell r="A583">
            <v>200160</v>
          </cell>
        </row>
        <row r="584">
          <cell r="A584">
            <v>200170</v>
          </cell>
        </row>
        <row r="585">
          <cell r="A585">
            <v>200180</v>
          </cell>
        </row>
        <row r="586">
          <cell r="A586">
            <v>200185</v>
          </cell>
        </row>
        <row r="587">
          <cell r="A587">
            <v>200190</v>
          </cell>
        </row>
        <row r="588">
          <cell r="A588">
            <v>200195</v>
          </cell>
        </row>
        <row r="589">
          <cell r="A589">
            <v>200200</v>
          </cell>
        </row>
        <row r="590">
          <cell r="A590">
            <v>200240</v>
          </cell>
        </row>
        <row r="591">
          <cell r="A591">
            <v>200245</v>
          </cell>
        </row>
        <row r="592">
          <cell r="A592">
            <v>200250</v>
          </cell>
        </row>
        <row r="593">
          <cell r="A593">
            <v>200260</v>
          </cell>
        </row>
        <row r="594">
          <cell r="A594">
            <v>200265</v>
          </cell>
        </row>
        <row r="595">
          <cell r="A595">
            <v>200270</v>
          </cell>
        </row>
        <row r="596">
          <cell r="A596">
            <v>200280</v>
          </cell>
        </row>
        <row r="597">
          <cell r="A597">
            <v>200300</v>
          </cell>
        </row>
        <row r="598">
          <cell r="A598">
            <v>200330</v>
          </cell>
        </row>
        <row r="599">
          <cell r="A599">
            <v>200335</v>
          </cell>
        </row>
        <row r="600">
          <cell r="A600">
            <v>210010</v>
          </cell>
        </row>
        <row r="601">
          <cell r="A601">
            <v>210100</v>
          </cell>
        </row>
        <row r="602">
          <cell r="A602">
            <v>210110</v>
          </cell>
        </row>
        <row r="603">
          <cell r="A603">
            <v>210150</v>
          </cell>
        </row>
        <row r="604">
          <cell r="A604">
            <v>210200</v>
          </cell>
        </row>
        <row r="605">
          <cell r="A605">
            <v>210260</v>
          </cell>
        </row>
        <row r="606">
          <cell r="A606">
            <v>210300</v>
          </cell>
        </row>
        <row r="607">
          <cell r="A607">
            <v>210310</v>
          </cell>
        </row>
        <row r="608">
          <cell r="A608">
            <v>210340</v>
          </cell>
        </row>
        <row r="609">
          <cell r="A609">
            <v>210352</v>
          </cell>
        </row>
        <row r="610">
          <cell r="A610">
            <v>210354</v>
          </cell>
        </row>
        <row r="611">
          <cell r="A611">
            <v>210400</v>
          </cell>
        </row>
        <row r="612">
          <cell r="A612">
            <v>210410</v>
          </cell>
        </row>
        <row r="613">
          <cell r="A613">
            <v>210415</v>
          </cell>
        </row>
        <row r="614">
          <cell r="A614">
            <v>210425</v>
          </cell>
        </row>
        <row r="615">
          <cell r="A615">
            <v>210430</v>
          </cell>
        </row>
        <row r="616">
          <cell r="A616">
            <v>210450</v>
          </cell>
        </row>
        <row r="617">
          <cell r="A617">
            <v>210455</v>
          </cell>
        </row>
        <row r="618">
          <cell r="A618">
            <v>210990</v>
          </cell>
        </row>
        <row r="619">
          <cell r="A619">
            <v>220010</v>
          </cell>
        </row>
        <row r="620">
          <cell r="A620">
            <v>220100</v>
          </cell>
        </row>
        <row r="621">
          <cell r="A621">
            <v>220120</v>
          </cell>
        </row>
        <row r="622">
          <cell r="A622">
            <v>220130</v>
          </cell>
        </row>
        <row r="623">
          <cell r="A623">
            <v>220150</v>
          </cell>
        </row>
        <row r="624">
          <cell r="A624">
            <v>220200</v>
          </cell>
        </row>
        <row r="625">
          <cell r="A625">
            <v>220300</v>
          </cell>
        </row>
        <row r="626">
          <cell r="A626">
            <v>220351</v>
          </cell>
        </row>
        <row r="627">
          <cell r="A627">
            <v>220352</v>
          </cell>
        </row>
        <row r="628">
          <cell r="A628">
            <v>220450</v>
          </cell>
        </row>
        <row r="629">
          <cell r="A629">
            <v>220550</v>
          </cell>
        </row>
        <row r="630">
          <cell r="A630">
            <v>220551</v>
          </cell>
        </row>
        <row r="631">
          <cell r="A631">
            <v>220600</v>
          </cell>
        </row>
        <row r="632">
          <cell r="A632">
            <v>220650</v>
          </cell>
        </row>
        <row r="633">
          <cell r="A633">
            <v>220990</v>
          </cell>
        </row>
        <row r="634">
          <cell r="A634">
            <v>250010</v>
          </cell>
        </row>
        <row r="635">
          <cell r="A635">
            <v>250101</v>
          </cell>
        </row>
        <row r="636">
          <cell r="A636">
            <v>250102</v>
          </cell>
        </row>
        <row r="637">
          <cell r="A637">
            <v>250103</v>
          </cell>
        </row>
        <row r="638">
          <cell r="A638">
            <v>250104</v>
          </cell>
        </row>
        <row r="639">
          <cell r="A639">
            <v>250163</v>
          </cell>
        </row>
        <row r="640">
          <cell r="A640">
            <v>250190</v>
          </cell>
        </row>
        <row r="641">
          <cell r="A641">
            <v>250250</v>
          </cell>
        </row>
        <row r="642">
          <cell r="A642">
            <v>250255</v>
          </cell>
        </row>
        <row r="643">
          <cell r="A643">
            <v>250300</v>
          </cell>
        </row>
        <row r="644">
          <cell r="A644">
            <v>250350</v>
          </cell>
        </row>
        <row r="645">
          <cell r="A645">
            <v>250701</v>
          </cell>
        </row>
        <row r="646">
          <cell r="A646">
            <v>250702</v>
          </cell>
        </row>
        <row r="647">
          <cell r="A647">
            <v>250990</v>
          </cell>
        </row>
        <row r="648">
          <cell r="A648">
            <v>299990</v>
          </cell>
        </row>
        <row r="649">
          <cell r="A649">
            <v>300000</v>
          </cell>
        </row>
        <row r="650">
          <cell r="A650">
            <v>300010</v>
          </cell>
        </row>
        <row r="651">
          <cell r="A651">
            <v>300100</v>
          </cell>
        </row>
        <row r="652">
          <cell r="A652">
            <v>300150</v>
          </cell>
        </row>
        <row r="653">
          <cell r="A653">
            <v>300160</v>
          </cell>
        </row>
        <row r="654">
          <cell r="A654">
            <v>300200</v>
          </cell>
        </row>
        <row r="655">
          <cell r="A655">
            <v>300205</v>
          </cell>
        </row>
        <row r="656">
          <cell r="A656">
            <v>300210</v>
          </cell>
        </row>
        <row r="657">
          <cell r="A657">
            <v>300226</v>
          </cell>
        </row>
        <row r="658">
          <cell r="A658">
            <v>300240</v>
          </cell>
        </row>
        <row r="659">
          <cell r="A659">
            <v>300250</v>
          </cell>
        </row>
        <row r="660">
          <cell r="A660">
            <v>300252</v>
          </cell>
        </row>
        <row r="661">
          <cell r="A661">
            <v>300255</v>
          </cell>
        </row>
        <row r="662">
          <cell r="A662">
            <v>300256</v>
          </cell>
        </row>
        <row r="663">
          <cell r="A663">
            <v>300260</v>
          </cell>
        </row>
        <row r="664">
          <cell r="A664">
            <v>300300</v>
          </cell>
        </row>
        <row r="665">
          <cell r="A665">
            <v>300990</v>
          </cell>
        </row>
        <row r="666">
          <cell r="A666">
            <v>399950</v>
          </cell>
        </row>
        <row r="667">
          <cell r="A667">
            <v>399990</v>
          </cell>
        </row>
        <row r="668">
          <cell r="A668">
            <v>399999</v>
          </cell>
        </row>
        <row r="669">
          <cell r="A669">
            <v>500002</v>
          </cell>
        </row>
        <row r="670">
          <cell r="A670">
            <v>510020</v>
          </cell>
        </row>
        <row r="671">
          <cell r="A671">
            <v>510050</v>
          </cell>
        </row>
        <row r="672">
          <cell r="A672">
            <v>510060</v>
          </cell>
        </row>
        <row r="673">
          <cell r="A673">
            <v>510100</v>
          </cell>
        </row>
        <row r="674">
          <cell r="A674">
            <v>510120</v>
          </cell>
        </row>
        <row r="675">
          <cell r="A675">
            <v>510130</v>
          </cell>
        </row>
        <row r="676">
          <cell r="A676">
            <v>510150</v>
          </cell>
        </row>
        <row r="677">
          <cell r="A677">
            <v>510200</v>
          </cell>
        </row>
        <row r="678">
          <cell r="A678">
            <v>510250</v>
          </cell>
        </row>
        <row r="679">
          <cell r="A679">
            <v>510260</v>
          </cell>
        </row>
        <row r="680">
          <cell r="A680">
            <v>510300</v>
          </cell>
        </row>
        <row r="681">
          <cell r="A681">
            <v>510350</v>
          </cell>
        </row>
        <row r="682">
          <cell r="A682">
            <v>510400</v>
          </cell>
        </row>
        <row r="683">
          <cell r="A683">
            <v>510410</v>
          </cell>
        </row>
        <row r="684">
          <cell r="A684">
            <v>510420</v>
          </cell>
        </row>
        <row r="685">
          <cell r="A685">
            <v>510430</v>
          </cell>
        </row>
        <row r="686">
          <cell r="A686">
            <v>510500</v>
          </cell>
        </row>
        <row r="687">
          <cell r="A687">
            <v>510510</v>
          </cell>
        </row>
        <row r="688">
          <cell r="A688">
            <v>510550</v>
          </cell>
        </row>
        <row r="689">
          <cell r="A689">
            <v>510560</v>
          </cell>
        </row>
        <row r="690">
          <cell r="A690">
            <v>510650</v>
          </cell>
        </row>
        <row r="691">
          <cell r="A691">
            <v>510950</v>
          </cell>
        </row>
        <row r="692">
          <cell r="A692">
            <v>510951</v>
          </cell>
        </row>
        <row r="693">
          <cell r="A693">
            <v>519990</v>
          </cell>
        </row>
        <row r="694">
          <cell r="A694">
            <v>520000</v>
          </cell>
        </row>
        <row r="695">
          <cell r="A695">
            <v>513050</v>
          </cell>
        </row>
        <row r="696">
          <cell r="A696">
            <v>513060</v>
          </cell>
        </row>
        <row r="697">
          <cell r="A697">
            <v>513100</v>
          </cell>
        </row>
        <row r="698">
          <cell r="A698">
            <v>513150</v>
          </cell>
        </row>
        <row r="699">
          <cell r="A699">
            <v>513200</v>
          </cell>
        </row>
        <row r="700">
          <cell r="A700">
            <v>513250</v>
          </cell>
        </row>
        <row r="701">
          <cell r="A701">
            <v>513300</v>
          </cell>
        </row>
        <row r="702">
          <cell r="A702">
            <v>513350</v>
          </cell>
        </row>
        <row r="703">
          <cell r="A703">
            <v>513360</v>
          </cell>
        </row>
        <row r="704">
          <cell r="A704">
            <v>513370</v>
          </cell>
        </row>
        <row r="705">
          <cell r="A705">
            <v>520050</v>
          </cell>
        </row>
        <row r="706">
          <cell r="A706">
            <v>520100</v>
          </cell>
        </row>
        <row r="707">
          <cell r="A707">
            <v>520150</v>
          </cell>
        </row>
        <row r="708">
          <cell r="A708">
            <v>520155</v>
          </cell>
        </row>
        <row r="709">
          <cell r="A709">
            <v>520200</v>
          </cell>
        </row>
        <row r="710">
          <cell r="A710">
            <v>520220</v>
          </cell>
        </row>
        <row r="711">
          <cell r="A711">
            <v>520250</v>
          </cell>
        </row>
        <row r="712">
          <cell r="A712">
            <v>520350</v>
          </cell>
        </row>
        <row r="713">
          <cell r="A713">
            <v>520351</v>
          </cell>
        </row>
        <row r="714">
          <cell r="A714">
            <v>520360</v>
          </cell>
        </row>
        <row r="715">
          <cell r="A715">
            <v>520370</v>
          </cell>
        </row>
        <row r="716">
          <cell r="A716">
            <v>520400</v>
          </cell>
        </row>
        <row r="717">
          <cell r="A717">
            <v>520410</v>
          </cell>
        </row>
        <row r="718">
          <cell r="A718">
            <v>520450</v>
          </cell>
        </row>
        <row r="719">
          <cell r="A719">
            <v>520500</v>
          </cell>
        </row>
        <row r="720">
          <cell r="A720">
            <v>520550</v>
          </cell>
        </row>
        <row r="721">
          <cell r="A721">
            <v>520570</v>
          </cell>
        </row>
        <row r="722">
          <cell r="A722">
            <v>520600</v>
          </cell>
        </row>
        <row r="723">
          <cell r="A723">
            <v>520630</v>
          </cell>
        </row>
        <row r="724">
          <cell r="A724">
            <v>520650</v>
          </cell>
        </row>
        <row r="725">
          <cell r="A725">
            <v>520700</v>
          </cell>
        </row>
        <row r="726">
          <cell r="A726">
            <v>520760</v>
          </cell>
        </row>
        <row r="727">
          <cell r="A727">
            <v>520800</v>
          </cell>
        </row>
        <row r="728">
          <cell r="A728">
            <v>520825</v>
          </cell>
        </row>
        <row r="729">
          <cell r="A729">
            <v>520830</v>
          </cell>
        </row>
        <row r="730">
          <cell r="A730">
            <v>520850</v>
          </cell>
        </row>
        <row r="731">
          <cell r="A731">
            <v>520870</v>
          </cell>
        </row>
        <row r="732">
          <cell r="A732">
            <v>520900</v>
          </cell>
        </row>
        <row r="733">
          <cell r="A733">
            <v>520950</v>
          </cell>
        </row>
        <row r="734">
          <cell r="A734">
            <v>520960</v>
          </cell>
        </row>
        <row r="735">
          <cell r="A735">
            <v>521050</v>
          </cell>
        </row>
        <row r="736">
          <cell r="A736">
            <v>521100</v>
          </cell>
        </row>
        <row r="737">
          <cell r="A737">
            <v>521150</v>
          </cell>
        </row>
        <row r="738">
          <cell r="A738">
            <v>521160</v>
          </cell>
        </row>
        <row r="739">
          <cell r="A739">
            <v>521170</v>
          </cell>
        </row>
        <row r="740">
          <cell r="A740">
            <v>521200</v>
          </cell>
        </row>
        <row r="741">
          <cell r="A741">
            <v>521250</v>
          </cell>
        </row>
        <row r="742">
          <cell r="A742">
            <v>521270</v>
          </cell>
        </row>
        <row r="743">
          <cell r="A743">
            <v>521350</v>
          </cell>
        </row>
        <row r="744">
          <cell r="A744">
            <v>521370</v>
          </cell>
        </row>
        <row r="745">
          <cell r="A745">
            <v>521400</v>
          </cell>
        </row>
        <row r="746">
          <cell r="A746">
            <v>521410</v>
          </cell>
        </row>
        <row r="747">
          <cell r="A747">
            <v>521430</v>
          </cell>
        </row>
        <row r="748">
          <cell r="A748">
            <v>521432</v>
          </cell>
        </row>
        <row r="749">
          <cell r="A749">
            <v>521990</v>
          </cell>
        </row>
        <row r="750">
          <cell r="A750">
            <v>530000</v>
          </cell>
        </row>
        <row r="751">
          <cell r="A751">
            <v>530050</v>
          </cell>
        </row>
        <row r="752">
          <cell r="A752">
            <v>530051</v>
          </cell>
        </row>
        <row r="753">
          <cell r="A753">
            <v>530052</v>
          </cell>
        </row>
        <row r="754">
          <cell r="A754">
            <v>530055</v>
          </cell>
        </row>
        <row r="755">
          <cell r="A755">
            <v>530100</v>
          </cell>
        </row>
        <row r="756">
          <cell r="A756">
            <v>530150</v>
          </cell>
        </row>
        <row r="757">
          <cell r="A757">
            <v>530200</v>
          </cell>
        </row>
        <row r="758">
          <cell r="A758">
            <v>530250</v>
          </cell>
        </row>
        <row r="759">
          <cell r="A759">
            <v>530300</v>
          </cell>
        </row>
        <row r="760">
          <cell r="A760">
            <v>530990</v>
          </cell>
        </row>
        <row r="761">
          <cell r="A761">
            <v>535000</v>
          </cell>
        </row>
        <row r="762">
          <cell r="A762">
            <v>535050</v>
          </cell>
        </row>
        <row r="763">
          <cell r="A763">
            <v>535055</v>
          </cell>
        </row>
        <row r="764">
          <cell r="A764">
            <v>535060</v>
          </cell>
        </row>
        <row r="765">
          <cell r="A765">
            <v>535070</v>
          </cell>
        </row>
        <row r="766">
          <cell r="A766">
            <v>535080</v>
          </cell>
        </row>
        <row r="767">
          <cell r="A767">
            <v>535090</v>
          </cell>
        </row>
        <row r="768">
          <cell r="A768">
            <v>535095</v>
          </cell>
        </row>
        <row r="769">
          <cell r="A769">
            <v>535100</v>
          </cell>
        </row>
        <row r="770">
          <cell r="A770">
            <v>535200</v>
          </cell>
        </row>
        <row r="771">
          <cell r="A771">
            <v>535800</v>
          </cell>
        </row>
        <row r="772">
          <cell r="A772">
            <v>535990</v>
          </cell>
        </row>
        <row r="773">
          <cell r="A773">
            <v>540000</v>
          </cell>
        </row>
        <row r="774">
          <cell r="A774">
            <v>540010</v>
          </cell>
        </row>
        <row r="775">
          <cell r="A775">
            <v>540050</v>
          </cell>
        </row>
        <row r="776">
          <cell r="A776">
            <v>540100</v>
          </cell>
        </row>
        <row r="777">
          <cell r="A777">
            <v>540110</v>
          </cell>
        </row>
        <row r="778">
          <cell r="A778">
            <v>540150</v>
          </cell>
        </row>
        <row r="779">
          <cell r="A779">
            <v>540990</v>
          </cell>
        </row>
        <row r="780">
          <cell r="A780">
            <v>550000</v>
          </cell>
        </row>
        <row r="781">
          <cell r="A781">
            <v>550050</v>
          </cell>
        </row>
        <row r="782">
          <cell r="A782">
            <v>550100</v>
          </cell>
        </row>
        <row r="783">
          <cell r="A783">
            <v>550150</v>
          </cell>
        </row>
        <row r="784">
          <cell r="A784">
            <v>550200</v>
          </cell>
        </row>
        <row r="785">
          <cell r="A785">
            <v>550210</v>
          </cell>
        </row>
        <row r="786">
          <cell r="A786">
            <v>550220</v>
          </cell>
        </row>
        <row r="787">
          <cell r="A787">
            <v>550250</v>
          </cell>
        </row>
        <row r="788">
          <cell r="A788">
            <v>550990</v>
          </cell>
        </row>
        <row r="789">
          <cell r="A789">
            <v>580000</v>
          </cell>
        </row>
        <row r="790">
          <cell r="A790">
            <v>580100</v>
          </cell>
        </row>
        <row r="791">
          <cell r="A791">
            <v>580300</v>
          </cell>
        </row>
        <row r="792">
          <cell r="A792">
            <v>580500</v>
          </cell>
        </row>
        <row r="793">
          <cell r="A793">
            <v>580700</v>
          </cell>
        </row>
        <row r="794">
          <cell r="A794">
            <v>580900</v>
          </cell>
        </row>
        <row r="795">
          <cell r="A795">
            <v>580999</v>
          </cell>
        </row>
        <row r="796">
          <cell r="A796">
            <v>590000</v>
          </cell>
        </row>
        <row r="797">
          <cell r="A797">
            <v>590150</v>
          </cell>
        </row>
        <row r="798">
          <cell r="A798">
            <v>590200</v>
          </cell>
        </row>
        <row r="799">
          <cell r="A799">
            <v>590250</v>
          </cell>
        </row>
        <row r="800">
          <cell r="A800">
            <v>590990</v>
          </cell>
        </row>
        <row r="801">
          <cell r="A801">
            <v>599990</v>
          </cell>
        </row>
        <row r="802">
          <cell r="A802">
            <v>600000</v>
          </cell>
        </row>
        <row r="803">
          <cell r="A803">
            <v>700000</v>
          </cell>
        </row>
        <row r="804">
          <cell r="A804">
            <v>700010</v>
          </cell>
        </row>
        <row r="805">
          <cell r="A805">
            <v>710000</v>
          </cell>
        </row>
        <row r="806">
          <cell r="A806">
            <v>711000</v>
          </cell>
        </row>
        <row r="807">
          <cell r="A807">
            <v>711100</v>
          </cell>
        </row>
        <row r="808">
          <cell r="A808">
            <v>711200</v>
          </cell>
        </row>
        <row r="809">
          <cell r="A809">
            <v>711300</v>
          </cell>
        </row>
        <row r="810">
          <cell r="A810">
            <v>711400</v>
          </cell>
        </row>
        <row r="811">
          <cell r="A811">
            <v>711500</v>
          </cell>
        </row>
        <row r="812">
          <cell r="A812">
            <v>711600</v>
          </cell>
        </row>
        <row r="813">
          <cell r="A813">
            <v>711700</v>
          </cell>
        </row>
        <row r="814">
          <cell r="A814">
            <v>711800</v>
          </cell>
        </row>
        <row r="815">
          <cell r="A815">
            <v>711850</v>
          </cell>
        </row>
        <row r="816">
          <cell r="A816">
            <v>711990</v>
          </cell>
        </row>
        <row r="817">
          <cell r="A817">
            <v>712000</v>
          </cell>
        </row>
        <row r="818">
          <cell r="A818">
            <v>712100</v>
          </cell>
        </row>
        <row r="819">
          <cell r="A819">
            <v>712200</v>
          </cell>
        </row>
        <row r="820">
          <cell r="A820">
            <v>712300</v>
          </cell>
        </row>
        <row r="821">
          <cell r="A821">
            <v>712990</v>
          </cell>
        </row>
        <row r="822">
          <cell r="A822">
            <v>713000</v>
          </cell>
        </row>
        <row r="823">
          <cell r="A823">
            <v>713100</v>
          </cell>
        </row>
        <row r="824">
          <cell r="A824">
            <v>713200</v>
          </cell>
        </row>
        <row r="825">
          <cell r="A825">
            <v>713300</v>
          </cell>
        </row>
        <row r="826">
          <cell r="A826">
            <v>713400</v>
          </cell>
        </row>
        <row r="827">
          <cell r="A827">
            <v>713500</v>
          </cell>
        </row>
        <row r="828">
          <cell r="A828">
            <v>713505</v>
          </cell>
        </row>
        <row r="829">
          <cell r="A829">
            <v>713600</v>
          </cell>
        </row>
        <row r="830">
          <cell r="A830">
            <v>713700</v>
          </cell>
        </row>
        <row r="831">
          <cell r="A831">
            <v>713800</v>
          </cell>
        </row>
        <row r="832">
          <cell r="A832">
            <v>713850</v>
          </cell>
        </row>
        <row r="833">
          <cell r="A833">
            <v>713900</v>
          </cell>
        </row>
        <row r="834">
          <cell r="A834">
            <v>713990</v>
          </cell>
        </row>
        <row r="835">
          <cell r="A835">
            <v>713999</v>
          </cell>
        </row>
        <row r="836">
          <cell r="A836">
            <v>714000</v>
          </cell>
        </row>
        <row r="837">
          <cell r="A837">
            <v>714050</v>
          </cell>
        </row>
        <row r="838">
          <cell r="A838">
            <v>714100</v>
          </cell>
        </row>
        <row r="839">
          <cell r="A839">
            <v>714150</v>
          </cell>
        </row>
        <row r="840">
          <cell r="A840">
            <v>714160</v>
          </cell>
        </row>
        <row r="841">
          <cell r="A841">
            <v>714170</v>
          </cell>
        </row>
        <row r="842">
          <cell r="A842">
            <v>714180</v>
          </cell>
        </row>
        <row r="843">
          <cell r="A843">
            <v>714190</v>
          </cell>
        </row>
        <row r="844">
          <cell r="A844">
            <v>714195</v>
          </cell>
        </row>
        <row r="845">
          <cell r="A845">
            <v>714200</v>
          </cell>
        </row>
        <row r="846">
          <cell r="A846">
            <v>714250</v>
          </cell>
        </row>
        <row r="847">
          <cell r="A847">
            <v>714300</v>
          </cell>
        </row>
        <row r="848">
          <cell r="A848">
            <v>714310</v>
          </cell>
        </row>
        <row r="849">
          <cell r="A849">
            <v>714320</v>
          </cell>
        </row>
        <row r="850">
          <cell r="A850">
            <v>714325</v>
          </cell>
        </row>
        <row r="851">
          <cell r="A851">
            <v>714330</v>
          </cell>
        </row>
        <row r="852">
          <cell r="A852">
            <v>714339</v>
          </cell>
        </row>
        <row r="853">
          <cell r="A853">
            <v>714340</v>
          </cell>
        </row>
        <row r="854">
          <cell r="A854">
            <v>714350</v>
          </cell>
        </row>
        <row r="855">
          <cell r="A855">
            <v>714400</v>
          </cell>
        </row>
        <row r="856">
          <cell r="A856">
            <v>714450</v>
          </cell>
        </row>
        <row r="857">
          <cell r="A857">
            <v>714460</v>
          </cell>
        </row>
        <row r="858">
          <cell r="A858">
            <v>714470</v>
          </cell>
        </row>
        <row r="859">
          <cell r="A859">
            <v>714480</v>
          </cell>
        </row>
        <row r="860">
          <cell r="A860">
            <v>714489</v>
          </cell>
        </row>
        <row r="861">
          <cell r="A861">
            <v>714490</v>
          </cell>
        </row>
        <row r="862">
          <cell r="A862">
            <v>714500</v>
          </cell>
        </row>
        <row r="863">
          <cell r="A863">
            <v>714550</v>
          </cell>
        </row>
        <row r="864">
          <cell r="A864">
            <v>714600</v>
          </cell>
        </row>
        <row r="865">
          <cell r="A865">
            <v>714610</v>
          </cell>
        </row>
        <row r="866">
          <cell r="A866">
            <v>714620</v>
          </cell>
        </row>
        <row r="867">
          <cell r="A867">
            <v>714630</v>
          </cell>
        </row>
        <row r="868">
          <cell r="A868">
            <v>714639</v>
          </cell>
        </row>
        <row r="869">
          <cell r="A869">
            <v>714640</v>
          </cell>
        </row>
        <row r="870">
          <cell r="A870">
            <v>714650</v>
          </cell>
        </row>
        <row r="871">
          <cell r="A871">
            <v>714700</v>
          </cell>
        </row>
        <row r="872">
          <cell r="A872">
            <v>714750</v>
          </cell>
        </row>
        <row r="873">
          <cell r="A873">
            <v>714760</v>
          </cell>
        </row>
        <row r="874">
          <cell r="A874">
            <v>714770</v>
          </cell>
        </row>
        <row r="875">
          <cell r="A875">
            <v>714780</v>
          </cell>
        </row>
        <row r="876">
          <cell r="A876">
            <v>714785</v>
          </cell>
        </row>
        <row r="877">
          <cell r="A877">
            <v>714790</v>
          </cell>
        </row>
        <row r="878">
          <cell r="A878">
            <v>714795</v>
          </cell>
        </row>
        <row r="879">
          <cell r="A879">
            <v>714800</v>
          </cell>
        </row>
        <row r="880">
          <cell r="A880">
            <v>714810</v>
          </cell>
        </row>
        <row r="881">
          <cell r="A881">
            <v>714850</v>
          </cell>
        </row>
        <row r="882">
          <cell r="A882">
            <v>714855</v>
          </cell>
        </row>
        <row r="883">
          <cell r="A883">
            <v>714870</v>
          </cell>
        </row>
        <row r="884">
          <cell r="A884">
            <v>714900</v>
          </cell>
        </row>
        <row r="885">
          <cell r="A885">
            <v>714990</v>
          </cell>
        </row>
        <row r="886">
          <cell r="A886">
            <v>715990</v>
          </cell>
        </row>
        <row r="887">
          <cell r="A887">
            <v>720000</v>
          </cell>
        </row>
        <row r="888">
          <cell r="A888">
            <v>720050</v>
          </cell>
        </row>
        <row r="889">
          <cell r="A889">
            <v>720100</v>
          </cell>
        </row>
        <row r="890">
          <cell r="A890">
            <v>720150</v>
          </cell>
        </row>
        <row r="891">
          <cell r="A891">
            <v>720200</v>
          </cell>
        </row>
        <row r="892">
          <cell r="A892">
            <v>720250</v>
          </cell>
        </row>
        <row r="893">
          <cell r="A893">
            <v>720255</v>
          </cell>
        </row>
        <row r="894">
          <cell r="A894">
            <v>720260</v>
          </cell>
        </row>
        <row r="895">
          <cell r="A895">
            <v>720300</v>
          </cell>
        </row>
        <row r="896">
          <cell r="A896">
            <v>720350</v>
          </cell>
        </row>
        <row r="897">
          <cell r="A897">
            <v>720380</v>
          </cell>
        </row>
        <row r="898">
          <cell r="A898">
            <v>720385</v>
          </cell>
        </row>
        <row r="899">
          <cell r="A899">
            <v>720390</v>
          </cell>
        </row>
        <row r="900">
          <cell r="A900">
            <v>720400</v>
          </cell>
        </row>
        <row r="901">
          <cell r="A901">
            <v>720450</v>
          </cell>
        </row>
        <row r="902">
          <cell r="A902">
            <v>720500</v>
          </cell>
        </row>
        <row r="903">
          <cell r="A903">
            <v>720550</v>
          </cell>
        </row>
        <row r="904">
          <cell r="A904">
            <v>720560</v>
          </cell>
        </row>
        <row r="905">
          <cell r="A905">
            <v>720600</v>
          </cell>
        </row>
        <row r="906">
          <cell r="A906">
            <v>720990</v>
          </cell>
        </row>
        <row r="907">
          <cell r="A907">
            <v>725000</v>
          </cell>
        </row>
        <row r="908">
          <cell r="A908">
            <v>725050</v>
          </cell>
        </row>
        <row r="909">
          <cell r="A909">
            <v>725060</v>
          </cell>
        </row>
        <row r="910">
          <cell r="A910">
            <v>725100</v>
          </cell>
        </row>
        <row r="911">
          <cell r="A911">
            <v>725125</v>
          </cell>
        </row>
        <row r="912">
          <cell r="A912">
            <v>725150</v>
          </cell>
        </row>
        <row r="913">
          <cell r="A913">
            <v>725200</v>
          </cell>
        </row>
        <row r="914">
          <cell r="A914">
            <v>725250</v>
          </cell>
        </row>
        <row r="915">
          <cell r="A915">
            <v>725260</v>
          </cell>
        </row>
        <row r="916">
          <cell r="A916">
            <v>725300</v>
          </cell>
        </row>
        <row r="917">
          <cell r="A917">
            <v>725350</v>
          </cell>
        </row>
        <row r="918">
          <cell r="A918">
            <v>725360</v>
          </cell>
        </row>
        <row r="919">
          <cell r="A919">
            <v>725400</v>
          </cell>
        </row>
        <row r="920">
          <cell r="A920">
            <v>725450</v>
          </cell>
        </row>
        <row r="921">
          <cell r="A921">
            <v>725455</v>
          </cell>
        </row>
        <row r="922">
          <cell r="A922">
            <v>725460</v>
          </cell>
        </row>
        <row r="923">
          <cell r="A923">
            <v>725475</v>
          </cell>
        </row>
        <row r="924">
          <cell r="A924">
            <v>725500</v>
          </cell>
        </row>
        <row r="925">
          <cell r="A925">
            <v>725990</v>
          </cell>
        </row>
        <row r="926">
          <cell r="A926">
            <v>730000</v>
          </cell>
        </row>
        <row r="927">
          <cell r="A927">
            <v>730050</v>
          </cell>
        </row>
        <row r="928">
          <cell r="A928">
            <v>730100</v>
          </cell>
        </row>
        <row r="929">
          <cell r="A929">
            <v>730110</v>
          </cell>
        </row>
        <row r="930">
          <cell r="A930">
            <v>730150</v>
          </cell>
        </row>
        <row r="931">
          <cell r="A931">
            <v>730200</v>
          </cell>
        </row>
        <row r="932">
          <cell r="A932">
            <v>730250</v>
          </cell>
        </row>
        <row r="933">
          <cell r="A933">
            <v>730300</v>
          </cell>
        </row>
        <row r="934">
          <cell r="A934">
            <v>730310</v>
          </cell>
        </row>
        <row r="935">
          <cell r="A935">
            <v>730350</v>
          </cell>
        </row>
        <row r="936">
          <cell r="A936">
            <v>730400</v>
          </cell>
        </row>
        <row r="937">
          <cell r="A937">
            <v>730450</v>
          </cell>
        </row>
        <row r="938">
          <cell r="A938">
            <v>730460</v>
          </cell>
        </row>
        <row r="939">
          <cell r="A939">
            <v>730500</v>
          </cell>
        </row>
        <row r="940">
          <cell r="A940">
            <v>730550</v>
          </cell>
        </row>
        <row r="941">
          <cell r="A941">
            <v>730600</v>
          </cell>
        </row>
        <row r="942">
          <cell r="A942">
            <v>730620</v>
          </cell>
        </row>
        <row r="943">
          <cell r="A943">
            <v>730630</v>
          </cell>
        </row>
        <row r="944">
          <cell r="A944">
            <v>730635</v>
          </cell>
        </row>
        <row r="945">
          <cell r="A945">
            <v>730640</v>
          </cell>
        </row>
        <row r="946">
          <cell r="A946">
            <v>730650</v>
          </cell>
        </row>
        <row r="947">
          <cell r="A947">
            <v>730990</v>
          </cell>
        </row>
        <row r="948">
          <cell r="A948">
            <v>735000</v>
          </cell>
        </row>
        <row r="949">
          <cell r="A949">
            <v>735040</v>
          </cell>
        </row>
        <row r="950">
          <cell r="A950">
            <v>735050</v>
          </cell>
        </row>
        <row r="951">
          <cell r="A951">
            <v>735080</v>
          </cell>
        </row>
        <row r="952">
          <cell r="A952">
            <v>735090</v>
          </cell>
        </row>
        <row r="953">
          <cell r="A953">
            <v>735100</v>
          </cell>
        </row>
        <row r="954">
          <cell r="A954">
            <v>735105</v>
          </cell>
        </row>
        <row r="955">
          <cell r="A955">
            <v>735110</v>
          </cell>
        </row>
        <row r="956">
          <cell r="A956">
            <v>735120</v>
          </cell>
        </row>
        <row r="957">
          <cell r="A957">
            <v>735130</v>
          </cell>
        </row>
        <row r="958">
          <cell r="A958">
            <v>735140</v>
          </cell>
        </row>
        <row r="959">
          <cell r="A959">
            <v>735160</v>
          </cell>
        </row>
        <row r="960">
          <cell r="A960">
            <v>735165</v>
          </cell>
        </row>
        <row r="961">
          <cell r="A961">
            <v>735200</v>
          </cell>
        </row>
        <row r="962">
          <cell r="A962">
            <v>735240</v>
          </cell>
        </row>
        <row r="963">
          <cell r="A963">
            <v>735245</v>
          </cell>
        </row>
        <row r="964">
          <cell r="A964">
            <v>735260</v>
          </cell>
        </row>
        <row r="965">
          <cell r="A965">
            <v>735280</v>
          </cell>
        </row>
        <row r="966">
          <cell r="A966">
            <v>735320</v>
          </cell>
        </row>
        <row r="967">
          <cell r="A967">
            <v>735360</v>
          </cell>
        </row>
        <row r="968">
          <cell r="A968">
            <v>735370</v>
          </cell>
        </row>
        <row r="969">
          <cell r="A969">
            <v>735380</v>
          </cell>
        </row>
        <row r="970">
          <cell r="A970">
            <v>735400</v>
          </cell>
        </row>
        <row r="971">
          <cell r="A971">
            <v>735410</v>
          </cell>
        </row>
        <row r="972">
          <cell r="A972">
            <v>735420</v>
          </cell>
        </row>
        <row r="973">
          <cell r="A973">
            <v>735425</v>
          </cell>
        </row>
        <row r="974">
          <cell r="A974">
            <v>735430</v>
          </cell>
        </row>
        <row r="975">
          <cell r="A975">
            <v>735440</v>
          </cell>
        </row>
        <row r="976">
          <cell r="A976">
            <v>735445</v>
          </cell>
        </row>
        <row r="977">
          <cell r="A977">
            <v>735480</v>
          </cell>
        </row>
        <row r="978">
          <cell r="A978">
            <v>735520</v>
          </cell>
        </row>
        <row r="979">
          <cell r="A979">
            <v>735525</v>
          </cell>
        </row>
        <row r="980">
          <cell r="A980">
            <v>735530</v>
          </cell>
        </row>
        <row r="981">
          <cell r="A981">
            <v>735560</v>
          </cell>
        </row>
        <row r="982">
          <cell r="A982">
            <v>735580</v>
          </cell>
        </row>
        <row r="983">
          <cell r="A983">
            <v>735600</v>
          </cell>
        </row>
        <row r="984">
          <cell r="A984">
            <v>735605</v>
          </cell>
        </row>
        <row r="985">
          <cell r="A985">
            <v>735610</v>
          </cell>
        </row>
        <row r="986">
          <cell r="A986">
            <v>735615</v>
          </cell>
        </row>
        <row r="987">
          <cell r="A987">
            <v>735620</v>
          </cell>
        </row>
        <row r="988">
          <cell r="A988">
            <v>735621</v>
          </cell>
        </row>
        <row r="989">
          <cell r="A989">
            <v>735630</v>
          </cell>
        </row>
        <row r="990">
          <cell r="A990">
            <v>735640</v>
          </cell>
        </row>
        <row r="991">
          <cell r="A991">
            <v>735650</v>
          </cell>
        </row>
        <row r="992">
          <cell r="A992">
            <v>735660</v>
          </cell>
        </row>
        <row r="993">
          <cell r="A993">
            <v>735670</v>
          </cell>
        </row>
        <row r="994">
          <cell r="A994">
            <v>735680</v>
          </cell>
        </row>
        <row r="995">
          <cell r="A995">
            <v>735685</v>
          </cell>
        </row>
        <row r="996">
          <cell r="A996">
            <v>735690</v>
          </cell>
        </row>
        <row r="997">
          <cell r="A997">
            <v>735700</v>
          </cell>
        </row>
        <row r="998">
          <cell r="A998">
            <v>735710</v>
          </cell>
        </row>
        <row r="999">
          <cell r="A999">
            <v>735720</v>
          </cell>
        </row>
        <row r="1000">
          <cell r="A1000">
            <v>735760</v>
          </cell>
        </row>
        <row r="1001">
          <cell r="A1001">
            <v>735765</v>
          </cell>
        </row>
        <row r="1002">
          <cell r="A1002">
            <v>735800</v>
          </cell>
        </row>
        <row r="1003">
          <cell r="A1003">
            <v>735810</v>
          </cell>
        </row>
        <row r="1004">
          <cell r="A1004">
            <v>735820</v>
          </cell>
        </row>
        <row r="1005">
          <cell r="A1005">
            <v>735830</v>
          </cell>
        </row>
        <row r="1006">
          <cell r="A1006">
            <v>735840</v>
          </cell>
        </row>
        <row r="1007">
          <cell r="A1007">
            <v>735850</v>
          </cell>
        </row>
        <row r="1008">
          <cell r="A1008">
            <v>735860</v>
          </cell>
        </row>
        <row r="1009">
          <cell r="A1009">
            <v>735865</v>
          </cell>
        </row>
        <row r="1010">
          <cell r="A1010">
            <v>735880</v>
          </cell>
        </row>
        <row r="1011">
          <cell r="A1011">
            <v>735990</v>
          </cell>
        </row>
        <row r="1012">
          <cell r="A1012">
            <v>740000</v>
          </cell>
        </row>
        <row r="1013">
          <cell r="A1013">
            <v>740020</v>
          </cell>
        </row>
        <row r="1014">
          <cell r="A1014">
            <v>740025</v>
          </cell>
        </row>
        <row r="1015">
          <cell r="A1015">
            <v>740030</v>
          </cell>
        </row>
        <row r="1016">
          <cell r="A1016">
            <v>740040</v>
          </cell>
        </row>
        <row r="1017">
          <cell r="A1017">
            <v>740050</v>
          </cell>
        </row>
        <row r="1018">
          <cell r="A1018">
            <v>740060</v>
          </cell>
        </row>
        <row r="1019">
          <cell r="A1019">
            <v>740150</v>
          </cell>
        </row>
        <row r="1020">
          <cell r="A1020">
            <v>740160</v>
          </cell>
        </row>
        <row r="1021">
          <cell r="A1021">
            <v>740170</v>
          </cell>
        </row>
        <row r="1022">
          <cell r="A1022">
            <v>740180</v>
          </cell>
        </row>
        <row r="1023">
          <cell r="A1023">
            <v>740190</v>
          </cell>
        </row>
        <row r="1024">
          <cell r="A1024">
            <v>740195</v>
          </cell>
        </row>
        <row r="1025">
          <cell r="A1025">
            <v>740200</v>
          </cell>
        </row>
        <row r="1026">
          <cell r="A1026">
            <v>740210</v>
          </cell>
        </row>
        <row r="1027">
          <cell r="A1027">
            <v>740220</v>
          </cell>
        </row>
        <row r="1028">
          <cell r="A1028">
            <v>740230</v>
          </cell>
        </row>
        <row r="1029">
          <cell r="A1029">
            <v>740250</v>
          </cell>
        </row>
        <row r="1030">
          <cell r="A1030">
            <v>740300</v>
          </cell>
        </row>
        <row r="1031">
          <cell r="A1031">
            <v>740350</v>
          </cell>
        </row>
        <row r="1032">
          <cell r="A1032">
            <v>740400</v>
          </cell>
        </row>
        <row r="1033">
          <cell r="A1033">
            <v>740450</v>
          </cell>
        </row>
        <row r="1034">
          <cell r="A1034">
            <v>740475</v>
          </cell>
        </row>
        <row r="1035">
          <cell r="A1035">
            <v>740480</v>
          </cell>
        </row>
        <row r="1036">
          <cell r="A1036">
            <v>740500</v>
          </cell>
        </row>
        <row r="1037">
          <cell r="A1037">
            <v>740525</v>
          </cell>
        </row>
        <row r="1038">
          <cell r="A1038">
            <v>740550</v>
          </cell>
        </row>
        <row r="1039">
          <cell r="A1039">
            <v>740600</v>
          </cell>
        </row>
        <row r="1040">
          <cell r="A1040">
            <v>740625</v>
          </cell>
        </row>
        <row r="1041">
          <cell r="A1041">
            <v>740650</v>
          </cell>
        </row>
        <row r="1042">
          <cell r="A1042">
            <v>740700</v>
          </cell>
        </row>
        <row r="1043">
          <cell r="A1043">
            <v>740710</v>
          </cell>
        </row>
        <row r="1044">
          <cell r="A1044">
            <v>740725</v>
          </cell>
        </row>
        <row r="1045">
          <cell r="A1045">
            <v>740750</v>
          </cell>
        </row>
        <row r="1046">
          <cell r="A1046">
            <v>740775</v>
          </cell>
        </row>
        <row r="1047">
          <cell r="A1047">
            <v>740800</v>
          </cell>
        </row>
        <row r="1048">
          <cell r="A1048">
            <v>740830</v>
          </cell>
        </row>
        <row r="1049">
          <cell r="A1049">
            <v>740840</v>
          </cell>
        </row>
        <row r="1050">
          <cell r="A1050">
            <v>740850</v>
          </cell>
        </row>
        <row r="1051">
          <cell r="A1051">
            <v>740860</v>
          </cell>
        </row>
        <row r="1052">
          <cell r="A1052">
            <v>740900</v>
          </cell>
        </row>
        <row r="1053">
          <cell r="A1053">
            <v>740950</v>
          </cell>
        </row>
        <row r="1054">
          <cell r="A1054">
            <v>740990</v>
          </cell>
        </row>
        <row r="1055">
          <cell r="A1055">
            <v>745000</v>
          </cell>
        </row>
        <row r="1056">
          <cell r="A1056">
            <v>745040</v>
          </cell>
        </row>
        <row r="1057">
          <cell r="A1057">
            <v>745050</v>
          </cell>
        </row>
        <row r="1058">
          <cell r="A1058">
            <v>745060</v>
          </cell>
        </row>
        <row r="1059">
          <cell r="A1059">
            <v>745080</v>
          </cell>
        </row>
        <row r="1060">
          <cell r="A1060">
            <v>745120</v>
          </cell>
        </row>
        <row r="1061">
          <cell r="A1061">
            <v>745160</v>
          </cell>
        </row>
        <row r="1062">
          <cell r="A1062">
            <v>745170</v>
          </cell>
        </row>
        <row r="1063">
          <cell r="A1063">
            <v>745180</v>
          </cell>
        </row>
        <row r="1064">
          <cell r="A1064">
            <v>745200</v>
          </cell>
        </row>
        <row r="1065">
          <cell r="A1065">
            <v>745240</v>
          </cell>
        </row>
        <row r="1066">
          <cell r="A1066">
            <v>745245</v>
          </cell>
        </row>
        <row r="1067">
          <cell r="A1067">
            <v>745250</v>
          </cell>
        </row>
        <row r="1068">
          <cell r="A1068">
            <v>745255</v>
          </cell>
        </row>
        <row r="1069">
          <cell r="A1069">
            <v>745260</v>
          </cell>
        </row>
        <row r="1070">
          <cell r="A1070">
            <v>745265</v>
          </cell>
        </row>
        <row r="1071">
          <cell r="A1071">
            <v>745280</v>
          </cell>
        </row>
        <row r="1072">
          <cell r="A1072">
            <v>745320</v>
          </cell>
        </row>
        <row r="1073">
          <cell r="A1073">
            <v>745360</v>
          </cell>
        </row>
        <row r="1074">
          <cell r="A1074">
            <v>745400</v>
          </cell>
        </row>
        <row r="1075">
          <cell r="A1075">
            <v>745440</v>
          </cell>
        </row>
        <row r="1076">
          <cell r="A1076">
            <v>745450</v>
          </cell>
        </row>
        <row r="1077">
          <cell r="A1077">
            <v>745480</v>
          </cell>
        </row>
        <row r="1078">
          <cell r="A1078">
            <v>745490</v>
          </cell>
        </row>
        <row r="1079">
          <cell r="A1079">
            <v>745500</v>
          </cell>
        </row>
        <row r="1080">
          <cell r="A1080">
            <v>745510</v>
          </cell>
        </row>
        <row r="1081">
          <cell r="A1081">
            <v>745520</v>
          </cell>
        </row>
        <row r="1082">
          <cell r="A1082">
            <v>745530</v>
          </cell>
        </row>
        <row r="1083">
          <cell r="A1083">
            <v>745560</v>
          </cell>
        </row>
        <row r="1084">
          <cell r="A1084">
            <v>745600</v>
          </cell>
        </row>
        <row r="1085">
          <cell r="A1085">
            <v>745640</v>
          </cell>
        </row>
        <row r="1086">
          <cell r="A1086">
            <v>745645</v>
          </cell>
        </row>
        <row r="1087">
          <cell r="A1087">
            <v>745650</v>
          </cell>
        </row>
        <row r="1088">
          <cell r="A1088">
            <v>745660</v>
          </cell>
        </row>
        <row r="1089">
          <cell r="A1089">
            <v>745670</v>
          </cell>
        </row>
        <row r="1090">
          <cell r="A1090">
            <v>745680</v>
          </cell>
        </row>
        <row r="1091">
          <cell r="A1091">
            <v>745720</v>
          </cell>
        </row>
        <row r="1092">
          <cell r="A1092">
            <v>745725</v>
          </cell>
        </row>
        <row r="1093">
          <cell r="A1093">
            <v>745730</v>
          </cell>
        </row>
        <row r="1094">
          <cell r="A1094">
            <v>745740</v>
          </cell>
        </row>
        <row r="1095">
          <cell r="A1095">
            <v>745750</v>
          </cell>
        </row>
        <row r="1096">
          <cell r="A1096">
            <v>745760</v>
          </cell>
        </row>
        <row r="1097">
          <cell r="A1097">
            <v>745820</v>
          </cell>
        </row>
        <row r="1098">
          <cell r="A1098">
            <v>745830</v>
          </cell>
        </row>
        <row r="1099">
          <cell r="A1099">
            <v>745840</v>
          </cell>
        </row>
        <row r="1100">
          <cell r="A1100">
            <v>745980</v>
          </cell>
        </row>
        <row r="1101">
          <cell r="A1101">
            <v>745990</v>
          </cell>
        </row>
        <row r="1102">
          <cell r="A1102">
            <v>746000</v>
          </cell>
        </row>
        <row r="1103">
          <cell r="A1103">
            <v>746001</v>
          </cell>
        </row>
        <row r="1104">
          <cell r="A1104">
            <v>746002</v>
          </cell>
        </row>
        <row r="1105">
          <cell r="A1105">
            <v>746010</v>
          </cell>
        </row>
        <row r="1106">
          <cell r="A1106">
            <v>746015</v>
          </cell>
        </row>
        <row r="1107">
          <cell r="A1107">
            <v>746020</v>
          </cell>
        </row>
        <row r="1108">
          <cell r="A1108">
            <v>746025</v>
          </cell>
        </row>
        <row r="1109">
          <cell r="A1109">
            <v>746030</v>
          </cell>
        </row>
        <row r="1110">
          <cell r="A1110">
            <v>746035</v>
          </cell>
        </row>
        <row r="1111">
          <cell r="A1111">
            <v>746040</v>
          </cell>
        </row>
        <row r="1112">
          <cell r="A1112">
            <v>746045</v>
          </cell>
        </row>
        <row r="1113">
          <cell r="A1113">
            <v>746050</v>
          </cell>
        </row>
        <row r="1114">
          <cell r="A1114">
            <v>746055</v>
          </cell>
        </row>
        <row r="1115">
          <cell r="A1115">
            <v>746060</v>
          </cell>
        </row>
        <row r="1116">
          <cell r="A1116">
            <v>746065</v>
          </cell>
        </row>
        <row r="1117">
          <cell r="A1117">
            <v>746070</v>
          </cell>
        </row>
        <row r="1118">
          <cell r="A1118">
            <v>746075</v>
          </cell>
        </row>
        <row r="1119">
          <cell r="A1119">
            <v>746080</v>
          </cell>
        </row>
        <row r="1120">
          <cell r="A1120">
            <v>746085</v>
          </cell>
        </row>
        <row r="1121">
          <cell r="A1121">
            <v>746099</v>
          </cell>
        </row>
        <row r="1122">
          <cell r="A1122">
            <v>746100</v>
          </cell>
        </row>
        <row r="1123">
          <cell r="A1123">
            <v>746105</v>
          </cell>
        </row>
        <row r="1124">
          <cell r="A1124">
            <v>746110</v>
          </cell>
        </row>
        <row r="1125">
          <cell r="A1125">
            <v>746120</v>
          </cell>
        </row>
        <row r="1126">
          <cell r="A1126">
            <v>746125</v>
          </cell>
        </row>
        <row r="1127">
          <cell r="A1127">
            <v>746130</v>
          </cell>
        </row>
        <row r="1128">
          <cell r="A1128">
            <v>746135</v>
          </cell>
        </row>
        <row r="1129">
          <cell r="A1129">
            <v>746140</v>
          </cell>
        </row>
        <row r="1130">
          <cell r="A1130">
            <v>746150</v>
          </cell>
        </row>
        <row r="1131">
          <cell r="A1131">
            <v>746160</v>
          </cell>
        </row>
        <row r="1132">
          <cell r="A1132">
            <v>746170</v>
          </cell>
        </row>
        <row r="1133">
          <cell r="A1133">
            <v>746199</v>
          </cell>
        </row>
        <row r="1134">
          <cell r="A1134">
            <v>746200</v>
          </cell>
        </row>
        <row r="1135">
          <cell r="A1135">
            <v>746220</v>
          </cell>
        </row>
        <row r="1136">
          <cell r="A1136">
            <v>746240</v>
          </cell>
        </row>
        <row r="1137">
          <cell r="A1137">
            <v>746260</v>
          </cell>
        </row>
        <row r="1138">
          <cell r="A1138">
            <v>746280</v>
          </cell>
        </row>
        <row r="1139">
          <cell r="A1139">
            <v>746290</v>
          </cell>
        </row>
        <row r="1140">
          <cell r="A1140">
            <v>746299</v>
          </cell>
        </row>
        <row r="1141">
          <cell r="A1141">
            <v>746300</v>
          </cell>
        </row>
        <row r="1142">
          <cell r="A1142">
            <v>746320</v>
          </cell>
        </row>
        <row r="1143">
          <cell r="A1143">
            <v>746340</v>
          </cell>
        </row>
        <row r="1144">
          <cell r="A1144">
            <v>746360</v>
          </cell>
        </row>
        <row r="1145">
          <cell r="A1145">
            <v>746380</v>
          </cell>
        </row>
        <row r="1146">
          <cell r="A1146">
            <v>746399</v>
          </cell>
        </row>
        <row r="1147">
          <cell r="A1147">
            <v>746400</v>
          </cell>
        </row>
        <row r="1148">
          <cell r="A1148">
            <v>746420</v>
          </cell>
        </row>
        <row r="1149">
          <cell r="A1149">
            <v>746430</v>
          </cell>
        </row>
        <row r="1150">
          <cell r="A1150">
            <v>746450</v>
          </cell>
        </row>
        <row r="1151">
          <cell r="A1151">
            <v>746470</v>
          </cell>
        </row>
        <row r="1152">
          <cell r="A1152">
            <v>746490</v>
          </cell>
        </row>
        <row r="1153">
          <cell r="A1153">
            <v>746499</v>
          </cell>
        </row>
        <row r="1154">
          <cell r="A1154">
            <v>746500</v>
          </cell>
        </row>
        <row r="1155">
          <cell r="A1155">
            <v>746520</v>
          </cell>
        </row>
        <row r="1156">
          <cell r="A1156">
            <v>746540</v>
          </cell>
        </row>
        <row r="1157">
          <cell r="A1157">
            <v>746560</v>
          </cell>
        </row>
        <row r="1158">
          <cell r="A1158">
            <v>746580</v>
          </cell>
        </row>
        <row r="1159">
          <cell r="A1159">
            <v>746599</v>
          </cell>
        </row>
        <row r="1160">
          <cell r="A1160">
            <v>746899</v>
          </cell>
        </row>
        <row r="1161">
          <cell r="A1161">
            <v>746990</v>
          </cell>
        </row>
        <row r="1162">
          <cell r="A1162">
            <v>747000</v>
          </cell>
        </row>
        <row r="1163">
          <cell r="A1163">
            <v>750000</v>
          </cell>
        </row>
        <row r="1164">
          <cell r="A1164">
            <v>750050</v>
          </cell>
        </row>
        <row r="1165">
          <cell r="A1165">
            <v>750060</v>
          </cell>
        </row>
        <row r="1166">
          <cell r="A1166">
            <v>750100</v>
          </cell>
        </row>
        <row r="1167">
          <cell r="A1167">
            <v>750150</v>
          </cell>
        </row>
        <row r="1168">
          <cell r="A1168">
            <v>750200</v>
          </cell>
        </row>
        <row r="1169">
          <cell r="A1169">
            <v>750990</v>
          </cell>
        </row>
        <row r="1170">
          <cell r="A1170">
            <v>755000</v>
          </cell>
        </row>
        <row r="1171">
          <cell r="A1171">
            <v>755050</v>
          </cell>
        </row>
        <row r="1172">
          <cell r="A1172">
            <v>755055</v>
          </cell>
        </row>
        <row r="1173">
          <cell r="A1173">
            <v>755100</v>
          </cell>
        </row>
        <row r="1174">
          <cell r="A1174">
            <v>755150</v>
          </cell>
        </row>
        <row r="1175">
          <cell r="A1175">
            <v>755175</v>
          </cell>
        </row>
        <row r="1176">
          <cell r="A1176">
            <v>755180</v>
          </cell>
        </row>
        <row r="1177">
          <cell r="A1177">
            <v>755185</v>
          </cell>
        </row>
        <row r="1178">
          <cell r="A1178">
            <v>755200</v>
          </cell>
        </row>
        <row r="1179">
          <cell r="A1179">
            <v>755990</v>
          </cell>
        </row>
        <row r="1180">
          <cell r="A1180">
            <v>760000</v>
          </cell>
        </row>
        <row r="1181">
          <cell r="A1181">
            <v>760050</v>
          </cell>
        </row>
        <row r="1182">
          <cell r="A1182">
            <v>760100</v>
          </cell>
        </row>
        <row r="1183">
          <cell r="A1183">
            <v>760150</v>
          </cell>
        </row>
        <row r="1184">
          <cell r="A1184">
            <v>760160</v>
          </cell>
        </row>
        <row r="1185">
          <cell r="A1185">
            <v>760200</v>
          </cell>
        </row>
        <row r="1186">
          <cell r="A1186">
            <v>760210</v>
          </cell>
        </row>
        <row r="1187">
          <cell r="A1187">
            <v>760220</v>
          </cell>
        </row>
        <row r="1188">
          <cell r="A1188">
            <v>760250</v>
          </cell>
        </row>
        <row r="1189">
          <cell r="A1189">
            <v>760260</v>
          </cell>
        </row>
        <row r="1190">
          <cell r="A1190">
            <v>760300</v>
          </cell>
        </row>
        <row r="1191">
          <cell r="A1191">
            <v>760350</v>
          </cell>
        </row>
        <row r="1192">
          <cell r="A1192">
            <v>760990</v>
          </cell>
        </row>
        <row r="1193">
          <cell r="A1193">
            <v>763000</v>
          </cell>
        </row>
        <row r="1194">
          <cell r="A1194">
            <v>763100</v>
          </cell>
        </row>
        <row r="1195">
          <cell r="A1195">
            <v>763120</v>
          </cell>
        </row>
        <row r="1196">
          <cell r="A1196">
            <v>763130</v>
          </cell>
        </row>
        <row r="1197">
          <cell r="A1197">
            <v>763140</v>
          </cell>
        </row>
        <row r="1198">
          <cell r="A1198">
            <v>763150</v>
          </cell>
        </row>
        <row r="1199">
          <cell r="A1199">
            <v>763160</v>
          </cell>
        </row>
        <row r="1200">
          <cell r="A1200">
            <v>763161</v>
          </cell>
        </row>
        <row r="1201">
          <cell r="A1201">
            <v>763170</v>
          </cell>
        </row>
        <row r="1202">
          <cell r="A1202">
            <v>763180</v>
          </cell>
        </row>
        <row r="1203">
          <cell r="A1203">
            <v>763190</v>
          </cell>
        </row>
        <row r="1204">
          <cell r="A1204">
            <v>763200</v>
          </cell>
        </row>
        <row r="1205">
          <cell r="A1205">
            <v>763990</v>
          </cell>
        </row>
        <row r="1206">
          <cell r="A1206">
            <v>765000</v>
          </cell>
        </row>
        <row r="1207">
          <cell r="A1207">
            <v>765050</v>
          </cell>
        </row>
        <row r="1208">
          <cell r="A1208">
            <v>765990</v>
          </cell>
        </row>
        <row r="1209">
          <cell r="A1209">
            <v>772990</v>
          </cell>
        </row>
        <row r="1210">
          <cell r="A1210">
            <v>773990</v>
          </cell>
        </row>
        <row r="1211">
          <cell r="A1211">
            <v>774990</v>
          </cell>
        </row>
        <row r="1212">
          <cell r="A1212">
            <v>774995</v>
          </cell>
        </row>
        <row r="1213">
          <cell r="A1213">
            <v>775000</v>
          </cell>
        </row>
        <row r="1214">
          <cell r="A1214">
            <v>775011</v>
          </cell>
        </row>
        <row r="1215">
          <cell r="A1215">
            <v>775012</v>
          </cell>
        </row>
        <row r="1216">
          <cell r="A1216">
            <v>775013</v>
          </cell>
        </row>
        <row r="1217">
          <cell r="A1217">
            <v>775017</v>
          </cell>
        </row>
        <row r="1218">
          <cell r="A1218">
            <v>775055</v>
          </cell>
        </row>
        <row r="1219">
          <cell r="A1219">
            <v>775130</v>
          </cell>
        </row>
        <row r="1220">
          <cell r="A1220">
            <v>775150</v>
          </cell>
        </row>
        <row r="1221">
          <cell r="A1221">
            <v>775155</v>
          </cell>
        </row>
        <row r="1222">
          <cell r="A1222">
            <v>775200</v>
          </cell>
        </row>
        <row r="1223">
          <cell r="A1223">
            <v>775220</v>
          </cell>
        </row>
        <row r="1224">
          <cell r="A1224">
            <v>775230</v>
          </cell>
        </row>
        <row r="1225">
          <cell r="A1225">
            <v>775250</v>
          </cell>
        </row>
        <row r="1226">
          <cell r="A1226">
            <v>775260</v>
          </cell>
        </row>
        <row r="1227">
          <cell r="A1227">
            <v>775262</v>
          </cell>
        </row>
        <row r="1228">
          <cell r="A1228">
            <v>775264</v>
          </cell>
        </row>
        <row r="1229">
          <cell r="A1229">
            <v>775265</v>
          </cell>
        </row>
        <row r="1230">
          <cell r="A1230">
            <v>775271</v>
          </cell>
        </row>
        <row r="1231">
          <cell r="A1231">
            <v>775990</v>
          </cell>
        </row>
        <row r="1232">
          <cell r="A1232">
            <v>776000</v>
          </cell>
        </row>
        <row r="1233">
          <cell r="A1233">
            <v>776050</v>
          </cell>
        </row>
        <row r="1234">
          <cell r="A1234">
            <v>776100</v>
          </cell>
        </row>
        <row r="1235">
          <cell r="A1235">
            <v>776150</v>
          </cell>
        </row>
        <row r="1236">
          <cell r="A1236">
            <v>776200</v>
          </cell>
        </row>
        <row r="1237">
          <cell r="A1237">
            <v>776210</v>
          </cell>
        </row>
        <row r="1238">
          <cell r="A1238">
            <v>776220</v>
          </cell>
        </row>
        <row r="1239">
          <cell r="A1239">
            <v>776250</v>
          </cell>
        </row>
        <row r="1240">
          <cell r="A1240">
            <v>776255</v>
          </cell>
        </row>
        <row r="1241">
          <cell r="A1241">
            <v>776270</v>
          </cell>
        </row>
        <row r="1242">
          <cell r="A1242">
            <v>776300</v>
          </cell>
        </row>
        <row r="1243">
          <cell r="A1243">
            <v>776350</v>
          </cell>
        </row>
        <row r="1244">
          <cell r="A1244">
            <v>776400</v>
          </cell>
        </row>
        <row r="1245">
          <cell r="A1245">
            <v>776450</v>
          </cell>
        </row>
        <row r="1246">
          <cell r="A1246">
            <v>776500</v>
          </cell>
        </row>
        <row r="1247">
          <cell r="A1247">
            <v>776550</v>
          </cell>
        </row>
        <row r="1248">
          <cell r="A1248">
            <v>776600</v>
          </cell>
        </row>
        <row r="1249">
          <cell r="A1249">
            <v>776650</v>
          </cell>
        </row>
        <row r="1250">
          <cell r="A1250">
            <v>776700</v>
          </cell>
        </row>
        <row r="1251">
          <cell r="A1251">
            <v>776750</v>
          </cell>
        </row>
        <row r="1252">
          <cell r="A1252">
            <v>776800</v>
          </cell>
        </row>
        <row r="1253">
          <cell r="A1253">
            <v>776850</v>
          </cell>
        </row>
        <row r="1254">
          <cell r="A1254">
            <v>776900</v>
          </cell>
        </row>
        <row r="1255">
          <cell r="A1255">
            <v>776910</v>
          </cell>
        </row>
        <row r="1256">
          <cell r="A1256">
            <v>776920</v>
          </cell>
        </row>
        <row r="1257">
          <cell r="A1257">
            <v>776930</v>
          </cell>
        </row>
        <row r="1258">
          <cell r="A1258">
            <v>776940</v>
          </cell>
        </row>
        <row r="1259">
          <cell r="A1259">
            <v>776950</v>
          </cell>
        </row>
        <row r="1260">
          <cell r="A1260">
            <v>776990</v>
          </cell>
        </row>
        <row r="1261">
          <cell r="A1261">
            <v>780000</v>
          </cell>
        </row>
        <row r="1262">
          <cell r="A1262">
            <v>780050</v>
          </cell>
        </row>
        <row r="1263">
          <cell r="A1263">
            <v>780065</v>
          </cell>
        </row>
        <row r="1264">
          <cell r="A1264">
            <v>780100</v>
          </cell>
        </row>
        <row r="1265">
          <cell r="A1265">
            <v>780990</v>
          </cell>
        </row>
        <row r="1266">
          <cell r="A1266">
            <v>781000</v>
          </cell>
        </row>
        <row r="1267">
          <cell r="A1267">
            <v>781050</v>
          </cell>
        </row>
        <row r="1268">
          <cell r="A1268">
            <v>781055</v>
          </cell>
        </row>
        <row r="1269">
          <cell r="A1269">
            <v>781100</v>
          </cell>
        </row>
        <row r="1270">
          <cell r="A1270">
            <v>781120</v>
          </cell>
        </row>
        <row r="1271">
          <cell r="A1271">
            <v>781140</v>
          </cell>
        </row>
        <row r="1272">
          <cell r="A1272">
            <v>781150</v>
          </cell>
        </row>
        <row r="1273">
          <cell r="A1273">
            <v>781215</v>
          </cell>
        </row>
        <row r="1274">
          <cell r="A1274">
            <v>781220</v>
          </cell>
        </row>
        <row r="1275">
          <cell r="A1275">
            <v>781230</v>
          </cell>
        </row>
        <row r="1276">
          <cell r="A1276">
            <v>781235</v>
          </cell>
        </row>
        <row r="1277">
          <cell r="A1277">
            <v>781240</v>
          </cell>
        </row>
        <row r="1278">
          <cell r="A1278">
            <v>781245</v>
          </cell>
        </row>
        <row r="1279">
          <cell r="A1279">
            <v>781247</v>
          </cell>
        </row>
        <row r="1280">
          <cell r="A1280">
            <v>781250</v>
          </cell>
        </row>
        <row r="1281">
          <cell r="A1281">
            <v>781255</v>
          </cell>
        </row>
        <row r="1282">
          <cell r="A1282">
            <v>781265</v>
          </cell>
        </row>
        <row r="1283">
          <cell r="A1283">
            <v>781270</v>
          </cell>
        </row>
        <row r="1284">
          <cell r="A1284">
            <v>781280</v>
          </cell>
        </row>
        <row r="1285">
          <cell r="A1285">
            <v>781285</v>
          </cell>
        </row>
        <row r="1286">
          <cell r="A1286">
            <v>781300</v>
          </cell>
        </row>
        <row r="1287">
          <cell r="A1287">
            <v>781330</v>
          </cell>
        </row>
        <row r="1288">
          <cell r="A1288">
            <v>781380</v>
          </cell>
        </row>
        <row r="1289">
          <cell r="A1289">
            <v>781390</v>
          </cell>
        </row>
        <row r="1290">
          <cell r="A1290">
            <v>781400</v>
          </cell>
        </row>
        <row r="1291">
          <cell r="A1291">
            <v>781625</v>
          </cell>
        </row>
        <row r="1292">
          <cell r="A1292">
            <v>781900</v>
          </cell>
        </row>
        <row r="1293">
          <cell r="A1293">
            <v>781990</v>
          </cell>
        </row>
        <row r="1294">
          <cell r="A1294">
            <v>782000</v>
          </cell>
        </row>
        <row r="1295">
          <cell r="A1295">
            <v>782050</v>
          </cell>
        </row>
        <row r="1296">
          <cell r="A1296">
            <v>782100</v>
          </cell>
        </row>
        <row r="1297">
          <cell r="A1297">
            <v>782150</v>
          </cell>
        </row>
        <row r="1298">
          <cell r="A1298">
            <v>782990</v>
          </cell>
        </row>
        <row r="1299">
          <cell r="A1299">
            <v>785000</v>
          </cell>
        </row>
        <row r="1300">
          <cell r="A1300">
            <v>785050</v>
          </cell>
        </row>
        <row r="1301">
          <cell r="A1301">
            <v>785055</v>
          </cell>
        </row>
        <row r="1302">
          <cell r="A1302">
            <v>785060</v>
          </cell>
        </row>
        <row r="1303">
          <cell r="A1303">
            <v>785065</v>
          </cell>
        </row>
        <row r="1304">
          <cell r="A1304">
            <v>785070</v>
          </cell>
        </row>
        <row r="1305">
          <cell r="A1305">
            <v>785075</v>
          </cell>
        </row>
        <row r="1306">
          <cell r="A1306">
            <v>785080</v>
          </cell>
        </row>
        <row r="1307">
          <cell r="A1307">
            <v>785085</v>
          </cell>
        </row>
        <row r="1308">
          <cell r="A1308">
            <v>785090</v>
          </cell>
        </row>
        <row r="1309">
          <cell r="A1309">
            <v>785100</v>
          </cell>
        </row>
        <row r="1310">
          <cell r="A1310">
            <v>785105</v>
          </cell>
        </row>
        <row r="1311">
          <cell r="A1311">
            <v>785110</v>
          </cell>
        </row>
        <row r="1312">
          <cell r="A1312">
            <v>785115</v>
          </cell>
        </row>
        <row r="1313">
          <cell r="A1313">
            <v>785116</v>
          </cell>
        </row>
        <row r="1314">
          <cell r="A1314">
            <v>785150</v>
          </cell>
        </row>
        <row r="1315">
          <cell r="A1315">
            <v>785990</v>
          </cell>
        </row>
        <row r="1316">
          <cell r="A1316">
            <v>786000</v>
          </cell>
        </row>
        <row r="1317">
          <cell r="A1317">
            <v>786100</v>
          </cell>
        </row>
        <row r="1318">
          <cell r="A1318">
            <v>786110</v>
          </cell>
        </row>
        <row r="1319">
          <cell r="A1319">
            <v>786120</v>
          </cell>
        </row>
        <row r="1320">
          <cell r="A1320">
            <v>786200</v>
          </cell>
        </row>
        <row r="1321">
          <cell r="A1321">
            <v>786300</v>
          </cell>
        </row>
        <row r="1322">
          <cell r="A1322">
            <v>786320</v>
          </cell>
        </row>
        <row r="1323">
          <cell r="A1323">
            <v>786340</v>
          </cell>
        </row>
        <row r="1324">
          <cell r="A1324">
            <v>786400</v>
          </cell>
        </row>
        <row r="1325">
          <cell r="A1325">
            <v>786500</v>
          </cell>
        </row>
        <row r="1326">
          <cell r="A1326">
            <v>786560</v>
          </cell>
        </row>
        <row r="1327">
          <cell r="A1327">
            <v>786580</v>
          </cell>
        </row>
        <row r="1328">
          <cell r="A1328">
            <v>786990</v>
          </cell>
        </row>
        <row r="1329">
          <cell r="A1329">
            <v>999990</v>
          </cell>
        </row>
      </sheetData>
      <sheetData sheetId="4">
        <row r="1">
          <cell r="A1" t="str">
            <v>Resolved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54977A-EFA6-43AE-A345-1C1374301BB2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81e8aab-848f-4f74-870d-97ab1760dfa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reasurer.maricopa.gov/parcel/TaxDetails.aspx?taxyear=202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8A40-A31C-45ED-9F56-32B4BB2E61E5}">
  <sheetPr>
    <pageSetUpPr fitToPage="1"/>
  </sheetPr>
  <dimension ref="B1:P99"/>
  <sheetViews>
    <sheetView tabSelected="1" topLeftCell="C1" zoomScale="70" zoomScaleNormal="70" zoomScalePageLayoutView="80" workbookViewId="0">
      <selection activeCell="L11" sqref="L11"/>
    </sheetView>
  </sheetViews>
  <sheetFormatPr defaultRowHeight="12.75" outlineLevelCol="1"/>
  <cols>
    <col min="1" max="1" width="0" style="366" hidden="1" customWidth="1"/>
    <col min="2" max="2" width="9.42578125" style="366" hidden="1" customWidth="1"/>
    <col min="3" max="3" width="48.140625" style="105" customWidth="1"/>
    <col min="4" max="4" width="3.28515625" style="105" customWidth="1"/>
    <col min="5" max="5" width="16.28515625" style="105" customWidth="1"/>
    <col min="6" max="6" width="15.5703125" style="105" customWidth="1"/>
    <col min="7" max="9" width="15.7109375" style="105" customWidth="1"/>
    <col min="10" max="10" width="15.140625" style="105" customWidth="1" outlineLevel="1"/>
    <col min="11" max="11" width="21.42578125" style="105" customWidth="1" outlineLevel="1"/>
    <col min="12" max="12" width="69.140625" style="366" bestFit="1" customWidth="1"/>
    <col min="13" max="13" width="23.28515625" style="366" bestFit="1" customWidth="1"/>
    <col min="14" max="15" width="8.28515625" style="366" customWidth="1"/>
    <col min="16" max="16" width="4.85546875" style="366" customWidth="1"/>
    <col min="17" max="257" width="9.140625" style="366"/>
    <col min="258" max="259" width="0" style="366" hidden="1" customWidth="1"/>
    <col min="260" max="260" width="48.140625" style="366" customWidth="1"/>
    <col min="261" max="261" width="3.28515625" style="366" customWidth="1"/>
    <col min="262" max="262" width="16.28515625" style="366" customWidth="1"/>
    <col min="263" max="264" width="13.5703125" style="366" customWidth="1"/>
    <col min="265" max="266" width="15" style="366" customWidth="1"/>
    <col min="267" max="267" width="15.140625" style="366" customWidth="1"/>
    <col min="268" max="268" width="21.42578125" style="366" customWidth="1"/>
    <col min="269" max="513" width="9.140625" style="366"/>
    <col min="514" max="515" width="0" style="366" hidden="1" customWidth="1"/>
    <col min="516" max="516" width="48.140625" style="366" customWidth="1"/>
    <col min="517" max="517" width="3.28515625" style="366" customWidth="1"/>
    <col min="518" max="518" width="16.28515625" style="366" customWidth="1"/>
    <col min="519" max="520" width="13.5703125" style="366" customWidth="1"/>
    <col min="521" max="522" width="15" style="366" customWidth="1"/>
    <col min="523" max="523" width="15.140625" style="366" customWidth="1"/>
    <col min="524" max="524" width="21.42578125" style="366" customWidth="1"/>
    <col min="525" max="769" width="9.140625" style="366"/>
    <col min="770" max="771" width="0" style="366" hidden="1" customWidth="1"/>
    <col min="772" max="772" width="48.140625" style="366" customWidth="1"/>
    <col min="773" max="773" width="3.28515625" style="366" customWidth="1"/>
    <col min="774" max="774" width="16.28515625" style="366" customWidth="1"/>
    <col min="775" max="776" width="13.5703125" style="366" customWidth="1"/>
    <col min="777" max="778" width="15" style="366" customWidth="1"/>
    <col min="779" max="779" width="15.140625" style="366" customWidth="1"/>
    <col min="780" max="780" width="21.42578125" style="366" customWidth="1"/>
    <col min="781" max="1025" width="9.140625" style="366"/>
    <col min="1026" max="1027" width="0" style="366" hidden="1" customWidth="1"/>
    <col min="1028" max="1028" width="48.140625" style="366" customWidth="1"/>
    <col min="1029" max="1029" width="3.28515625" style="366" customWidth="1"/>
    <col min="1030" max="1030" width="16.28515625" style="366" customWidth="1"/>
    <col min="1031" max="1032" width="13.5703125" style="366" customWidth="1"/>
    <col min="1033" max="1034" width="15" style="366" customWidth="1"/>
    <col min="1035" max="1035" width="15.140625" style="366" customWidth="1"/>
    <col min="1036" max="1036" width="21.42578125" style="366" customWidth="1"/>
    <col min="1037" max="1281" width="9.140625" style="366"/>
    <col min="1282" max="1283" width="0" style="366" hidden="1" customWidth="1"/>
    <col min="1284" max="1284" width="48.140625" style="366" customWidth="1"/>
    <col min="1285" max="1285" width="3.28515625" style="366" customWidth="1"/>
    <col min="1286" max="1286" width="16.28515625" style="366" customWidth="1"/>
    <col min="1287" max="1288" width="13.5703125" style="366" customWidth="1"/>
    <col min="1289" max="1290" width="15" style="366" customWidth="1"/>
    <col min="1291" max="1291" width="15.140625" style="366" customWidth="1"/>
    <col min="1292" max="1292" width="21.42578125" style="366" customWidth="1"/>
    <col min="1293" max="1537" width="9.140625" style="366"/>
    <col min="1538" max="1539" width="0" style="366" hidden="1" customWidth="1"/>
    <col min="1540" max="1540" width="48.140625" style="366" customWidth="1"/>
    <col min="1541" max="1541" width="3.28515625" style="366" customWidth="1"/>
    <col min="1542" max="1542" width="16.28515625" style="366" customWidth="1"/>
    <col min="1543" max="1544" width="13.5703125" style="366" customWidth="1"/>
    <col min="1545" max="1546" width="15" style="366" customWidth="1"/>
    <col min="1547" max="1547" width="15.140625" style="366" customWidth="1"/>
    <col min="1548" max="1548" width="21.42578125" style="366" customWidth="1"/>
    <col min="1549" max="1793" width="9.140625" style="366"/>
    <col min="1794" max="1795" width="0" style="366" hidden="1" customWidth="1"/>
    <col min="1796" max="1796" width="48.140625" style="366" customWidth="1"/>
    <col min="1797" max="1797" width="3.28515625" style="366" customWidth="1"/>
    <col min="1798" max="1798" width="16.28515625" style="366" customWidth="1"/>
    <col min="1799" max="1800" width="13.5703125" style="366" customWidth="1"/>
    <col min="1801" max="1802" width="15" style="366" customWidth="1"/>
    <col min="1803" max="1803" width="15.140625" style="366" customWidth="1"/>
    <col min="1804" max="1804" width="21.42578125" style="366" customWidth="1"/>
    <col min="1805" max="2049" width="9.140625" style="366"/>
    <col min="2050" max="2051" width="0" style="366" hidden="1" customWidth="1"/>
    <col min="2052" max="2052" width="48.140625" style="366" customWidth="1"/>
    <col min="2053" max="2053" width="3.28515625" style="366" customWidth="1"/>
    <col min="2054" max="2054" width="16.28515625" style="366" customWidth="1"/>
    <col min="2055" max="2056" width="13.5703125" style="366" customWidth="1"/>
    <col min="2057" max="2058" width="15" style="366" customWidth="1"/>
    <col min="2059" max="2059" width="15.140625" style="366" customWidth="1"/>
    <col min="2060" max="2060" width="21.42578125" style="366" customWidth="1"/>
    <col min="2061" max="2305" width="9.140625" style="366"/>
    <col min="2306" max="2307" width="0" style="366" hidden="1" customWidth="1"/>
    <col min="2308" max="2308" width="48.140625" style="366" customWidth="1"/>
    <col min="2309" max="2309" width="3.28515625" style="366" customWidth="1"/>
    <col min="2310" max="2310" width="16.28515625" style="366" customWidth="1"/>
    <col min="2311" max="2312" width="13.5703125" style="366" customWidth="1"/>
    <col min="2313" max="2314" width="15" style="366" customWidth="1"/>
    <col min="2315" max="2315" width="15.140625" style="366" customWidth="1"/>
    <col min="2316" max="2316" width="21.42578125" style="366" customWidth="1"/>
    <col min="2317" max="2561" width="9.140625" style="366"/>
    <col min="2562" max="2563" width="0" style="366" hidden="1" customWidth="1"/>
    <col min="2564" max="2564" width="48.140625" style="366" customWidth="1"/>
    <col min="2565" max="2565" width="3.28515625" style="366" customWidth="1"/>
    <col min="2566" max="2566" width="16.28515625" style="366" customWidth="1"/>
    <col min="2567" max="2568" width="13.5703125" style="366" customWidth="1"/>
    <col min="2569" max="2570" width="15" style="366" customWidth="1"/>
    <col min="2571" max="2571" width="15.140625" style="366" customWidth="1"/>
    <col min="2572" max="2572" width="21.42578125" style="366" customWidth="1"/>
    <col min="2573" max="2817" width="9.140625" style="366"/>
    <col min="2818" max="2819" width="0" style="366" hidden="1" customWidth="1"/>
    <col min="2820" max="2820" width="48.140625" style="366" customWidth="1"/>
    <col min="2821" max="2821" width="3.28515625" style="366" customWidth="1"/>
    <col min="2822" max="2822" width="16.28515625" style="366" customWidth="1"/>
    <col min="2823" max="2824" width="13.5703125" style="366" customWidth="1"/>
    <col min="2825" max="2826" width="15" style="366" customWidth="1"/>
    <col min="2827" max="2827" width="15.140625" style="366" customWidth="1"/>
    <col min="2828" max="2828" width="21.42578125" style="366" customWidth="1"/>
    <col min="2829" max="3073" width="9.140625" style="366"/>
    <col min="3074" max="3075" width="0" style="366" hidden="1" customWidth="1"/>
    <col min="3076" max="3076" width="48.140625" style="366" customWidth="1"/>
    <col min="3077" max="3077" width="3.28515625" style="366" customWidth="1"/>
    <col min="3078" max="3078" width="16.28515625" style="366" customWidth="1"/>
    <col min="3079" max="3080" width="13.5703125" style="366" customWidth="1"/>
    <col min="3081" max="3082" width="15" style="366" customWidth="1"/>
    <col min="3083" max="3083" width="15.140625" style="366" customWidth="1"/>
    <col min="3084" max="3084" width="21.42578125" style="366" customWidth="1"/>
    <col min="3085" max="3329" width="9.140625" style="366"/>
    <col min="3330" max="3331" width="0" style="366" hidden="1" customWidth="1"/>
    <col min="3332" max="3332" width="48.140625" style="366" customWidth="1"/>
    <col min="3333" max="3333" width="3.28515625" style="366" customWidth="1"/>
    <col min="3334" max="3334" width="16.28515625" style="366" customWidth="1"/>
    <col min="3335" max="3336" width="13.5703125" style="366" customWidth="1"/>
    <col min="3337" max="3338" width="15" style="366" customWidth="1"/>
    <col min="3339" max="3339" width="15.140625" style="366" customWidth="1"/>
    <col min="3340" max="3340" width="21.42578125" style="366" customWidth="1"/>
    <col min="3341" max="3585" width="9.140625" style="366"/>
    <col min="3586" max="3587" width="0" style="366" hidden="1" customWidth="1"/>
    <col min="3588" max="3588" width="48.140625" style="366" customWidth="1"/>
    <col min="3589" max="3589" width="3.28515625" style="366" customWidth="1"/>
    <col min="3590" max="3590" width="16.28515625" style="366" customWidth="1"/>
    <col min="3591" max="3592" width="13.5703125" style="366" customWidth="1"/>
    <col min="3593" max="3594" width="15" style="366" customWidth="1"/>
    <col min="3595" max="3595" width="15.140625" style="366" customWidth="1"/>
    <col min="3596" max="3596" width="21.42578125" style="366" customWidth="1"/>
    <col min="3597" max="3841" width="9.140625" style="366"/>
    <col min="3842" max="3843" width="0" style="366" hidden="1" customWidth="1"/>
    <col min="3844" max="3844" width="48.140625" style="366" customWidth="1"/>
    <col min="3845" max="3845" width="3.28515625" style="366" customWidth="1"/>
    <col min="3846" max="3846" width="16.28515625" style="366" customWidth="1"/>
    <col min="3847" max="3848" width="13.5703125" style="366" customWidth="1"/>
    <col min="3849" max="3850" width="15" style="366" customWidth="1"/>
    <col min="3851" max="3851" width="15.140625" style="366" customWidth="1"/>
    <col min="3852" max="3852" width="21.42578125" style="366" customWidth="1"/>
    <col min="3853" max="4097" width="9.140625" style="366"/>
    <col min="4098" max="4099" width="0" style="366" hidden="1" customWidth="1"/>
    <col min="4100" max="4100" width="48.140625" style="366" customWidth="1"/>
    <col min="4101" max="4101" width="3.28515625" style="366" customWidth="1"/>
    <col min="4102" max="4102" width="16.28515625" style="366" customWidth="1"/>
    <col min="4103" max="4104" width="13.5703125" style="366" customWidth="1"/>
    <col min="4105" max="4106" width="15" style="366" customWidth="1"/>
    <col min="4107" max="4107" width="15.140625" style="366" customWidth="1"/>
    <col min="4108" max="4108" width="21.42578125" style="366" customWidth="1"/>
    <col min="4109" max="4353" width="9.140625" style="366"/>
    <col min="4354" max="4355" width="0" style="366" hidden="1" customWidth="1"/>
    <col min="4356" max="4356" width="48.140625" style="366" customWidth="1"/>
    <col min="4357" max="4357" width="3.28515625" style="366" customWidth="1"/>
    <col min="4358" max="4358" width="16.28515625" style="366" customWidth="1"/>
    <col min="4359" max="4360" width="13.5703125" style="366" customWidth="1"/>
    <col min="4361" max="4362" width="15" style="366" customWidth="1"/>
    <col min="4363" max="4363" width="15.140625" style="366" customWidth="1"/>
    <col min="4364" max="4364" width="21.42578125" style="366" customWidth="1"/>
    <col min="4365" max="4609" width="9.140625" style="366"/>
    <col min="4610" max="4611" width="0" style="366" hidden="1" customWidth="1"/>
    <col min="4612" max="4612" width="48.140625" style="366" customWidth="1"/>
    <col min="4613" max="4613" width="3.28515625" style="366" customWidth="1"/>
    <col min="4614" max="4614" width="16.28515625" style="366" customWidth="1"/>
    <col min="4615" max="4616" width="13.5703125" style="366" customWidth="1"/>
    <col min="4617" max="4618" width="15" style="366" customWidth="1"/>
    <col min="4619" max="4619" width="15.140625" style="366" customWidth="1"/>
    <col min="4620" max="4620" width="21.42578125" style="366" customWidth="1"/>
    <col min="4621" max="4865" width="9.140625" style="366"/>
    <col min="4866" max="4867" width="0" style="366" hidden="1" customWidth="1"/>
    <col min="4868" max="4868" width="48.140625" style="366" customWidth="1"/>
    <col min="4869" max="4869" width="3.28515625" style="366" customWidth="1"/>
    <col min="4870" max="4870" width="16.28515625" style="366" customWidth="1"/>
    <col min="4871" max="4872" width="13.5703125" style="366" customWidth="1"/>
    <col min="4873" max="4874" width="15" style="366" customWidth="1"/>
    <col min="4875" max="4875" width="15.140625" style="366" customWidth="1"/>
    <col min="4876" max="4876" width="21.42578125" style="366" customWidth="1"/>
    <col min="4877" max="5121" width="9.140625" style="366"/>
    <col min="5122" max="5123" width="0" style="366" hidden="1" customWidth="1"/>
    <col min="5124" max="5124" width="48.140625" style="366" customWidth="1"/>
    <col min="5125" max="5125" width="3.28515625" style="366" customWidth="1"/>
    <col min="5126" max="5126" width="16.28515625" style="366" customWidth="1"/>
    <col min="5127" max="5128" width="13.5703125" style="366" customWidth="1"/>
    <col min="5129" max="5130" width="15" style="366" customWidth="1"/>
    <col min="5131" max="5131" width="15.140625" style="366" customWidth="1"/>
    <col min="5132" max="5132" width="21.42578125" style="366" customWidth="1"/>
    <col min="5133" max="5377" width="9.140625" style="366"/>
    <col min="5378" max="5379" width="0" style="366" hidden="1" customWidth="1"/>
    <col min="5380" max="5380" width="48.140625" style="366" customWidth="1"/>
    <col min="5381" max="5381" width="3.28515625" style="366" customWidth="1"/>
    <col min="5382" max="5382" width="16.28515625" style="366" customWidth="1"/>
    <col min="5383" max="5384" width="13.5703125" style="366" customWidth="1"/>
    <col min="5385" max="5386" width="15" style="366" customWidth="1"/>
    <col min="5387" max="5387" width="15.140625" style="366" customWidth="1"/>
    <col min="5388" max="5388" width="21.42578125" style="366" customWidth="1"/>
    <col min="5389" max="5633" width="9.140625" style="366"/>
    <col min="5634" max="5635" width="0" style="366" hidden="1" customWidth="1"/>
    <col min="5636" max="5636" width="48.140625" style="366" customWidth="1"/>
    <col min="5637" max="5637" width="3.28515625" style="366" customWidth="1"/>
    <col min="5638" max="5638" width="16.28515625" style="366" customWidth="1"/>
    <col min="5639" max="5640" width="13.5703125" style="366" customWidth="1"/>
    <col min="5641" max="5642" width="15" style="366" customWidth="1"/>
    <col min="5643" max="5643" width="15.140625" style="366" customWidth="1"/>
    <col min="5644" max="5644" width="21.42578125" style="366" customWidth="1"/>
    <col min="5645" max="5889" width="9.140625" style="366"/>
    <col min="5890" max="5891" width="0" style="366" hidden="1" customWidth="1"/>
    <col min="5892" max="5892" width="48.140625" style="366" customWidth="1"/>
    <col min="5893" max="5893" width="3.28515625" style="366" customWidth="1"/>
    <col min="5894" max="5894" width="16.28515625" style="366" customWidth="1"/>
    <col min="5895" max="5896" width="13.5703125" style="366" customWidth="1"/>
    <col min="5897" max="5898" width="15" style="366" customWidth="1"/>
    <col min="5899" max="5899" width="15.140625" style="366" customWidth="1"/>
    <col min="5900" max="5900" width="21.42578125" style="366" customWidth="1"/>
    <col min="5901" max="6145" width="9.140625" style="366"/>
    <col min="6146" max="6147" width="0" style="366" hidden="1" customWidth="1"/>
    <col min="6148" max="6148" width="48.140625" style="366" customWidth="1"/>
    <col min="6149" max="6149" width="3.28515625" style="366" customWidth="1"/>
    <col min="6150" max="6150" width="16.28515625" style="366" customWidth="1"/>
    <col min="6151" max="6152" width="13.5703125" style="366" customWidth="1"/>
    <col min="6153" max="6154" width="15" style="366" customWidth="1"/>
    <col min="6155" max="6155" width="15.140625" style="366" customWidth="1"/>
    <col min="6156" max="6156" width="21.42578125" style="366" customWidth="1"/>
    <col min="6157" max="6401" width="9.140625" style="366"/>
    <col min="6402" max="6403" width="0" style="366" hidden="1" customWidth="1"/>
    <col min="6404" max="6404" width="48.140625" style="366" customWidth="1"/>
    <col min="6405" max="6405" width="3.28515625" style="366" customWidth="1"/>
    <col min="6406" max="6406" width="16.28515625" style="366" customWidth="1"/>
    <col min="6407" max="6408" width="13.5703125" style="366" customWidth="1"/>
    <col min="6409" max="6410" width="15" style="366" customWidth="1"/>
    <col min="6411" max="6411" width="15.140625" style="366" customWidth="1"/>
    <col min="6412" max="6412" width="21.42578125" style="366" customWidth="1"/>
    <col min="6413" max="6657" width="9.140625" style="366"/>
    <col min="6658" max="6659" width="0" style="366" hidden="1" customWidth="1"/>
    <col min="6660" max="6660" width="48.140625" style="366" customWidth="1"/>
    <col min="6661" max="6661" width="3.28515625" style="366" customWidth="1"/>
    <col min="6662" max="6662" width="16.28515625" style="366" customWidth="1"/>
    <col min="6663" max="6664" width="13.5703125" style="366" customWidth="1"/>
    <col min="6665" max="6666" width="15" style="366" customWidth="1"/>
    <col min="6667" max="6667" width="15.140625" style="366" customWidth="1"/>
    <col min="6668" max="6668" width="21.42578125" style="366" customWidth="1"/>
    <col min="6669" max="6913" width="9.140625" style="366"/>
    <col min="6914" max="6915" width="0" style="366" hidden="1" customWidth="1"/>
    <col min="6916" max="6916" width="48.140625" style="366" customWidth="1"/>
    <col min="6917" max="6917" width="3.28515625" style="366" customWidth="1"/>
    <col min="6918" max="6918" width="16.28515625" style="366" customWidth="1"/>
    <col min="6919" max="6920" width="13.5703125" style="366" customWidth="1"/>
    <col min="6921" max="6922" width="15" style="366" customWidth="1"/>
    <col min="6923" max="6923" width="15.140625" style="366" customWidth="1"/>
    <col min="6924" max="6924" width="21.42578125" style="366" customWidth="1"/>
    <col min="6925" max="7169" width="9.140625" style="366"/>
    <col min="7170" max="7171" width="0" style="366" hidden="1" customWidth="1"/>
    <col min="7172" max="7172" width="48.140625" style="366" customWidth="1"/>
    <col min="7173" max="7173" width="3.28515625" style="366" customWidth="1"/>
    <col min="7174" max="7174" width="16.28515625" style="366" customWidth="1"/>
    <col min="7175" max="7176" width="13.5703125" style="366" customWidth="1"/>
    <col min="7177" max="7178" width="15" style="366" customWidth="1"/>
    <col min="7179" max="7179" width="15.140625" style="366" customWidth="1"/>
    <col min="7180" max="7180" width="21.42578125" style="366" customWidth="1"/>
    <col min="7181" max="7425" width="9.140625" style="366"/>
    <col min="7426" max="7427" width="0" style="366" hidden="1" customWidth="1"/>
    <col min="7428" max="7428" width="48.140625" style="366" customWidth="1"/>
    <col min="7429" max="7429" width="3.28515625" style="366" customWidth="1"/>
    <col min="7430" max="7430" width="16.28515625" style="366" customWidth="1"/>
    <col min="7431" max="7432" width="13.5703125" style="366" customWidth="1"/>
    <col min="7433" max="7434" width="15" style="366" customWidth="1"/>
    <col min="7435" max="7435" width="15.140625" style="366" customWidth="1"/>
    <col min="7436" max="7436" width="21.42578125" style="366" customWidth="1"/>
    <col min="7437" max="7681" width="9.140625" style="366"/>
    <col min="7682" max="7683" width="0" style="366" hidden="1" customWidth="1"/>
    <col min="7684" max="7684" width="48.140625" style="366" customWidth="1"/>
    <col min="7685" max="7685" width="3.28515625" style="366" customWidth="1"/>
    <col min="7686" max="7686" width="16.28515625" style="366" customWidth="1"/>
    <col min="7687" max="7688" width="13.5703125" style="366" customWidth="1"/>
    <col min="7689" max="7690" width="15" style="366" customWidth="1"/>
    <col min="7691" max="7691" width="15.140625" style="366" customWidth="1"/>
    <col min="7692" max="7692" width="21.42578125" style="366" customWidth="1"/>
    <col min="7693" max="7937" width="9.140625" style="366"/>
    <col min="7938" max="7939" width="0" style="366" hidden="1" customWidth="1"/>
    <col min="7940" max="7940" width="48.140625" style="366" customWidth="1"/>
    <col min="7941" max="7941" width="3.28515625" style="366" customWidth="1"/>
    <col min="7942" max="7942" width="16.28515625" style="366" customWidth="1"/>
    <col min="7943" max="7944" width="13.5703125" style="366" customWidth="1"/>
    <col min="7945" max="7946" width="15" style="366" customWidth="1"/>
    <col min="7947" max="7947" width="15.140625" style="366" customWidth="1"/>
    <col min="7948" max="7948" width="21.42578125" style="366" customWidth="1"/>
    <col min="7949" max="8193" width="9.140625" style="366"/>
    <col min="8194" max="8195" width="0" style="366" hidden="1" customWidth="1"/>
    <col min="8196" max="8196" width="48.140625" style="366" customWidth="1"/>
    <col min="8197" max="8197" width="3.28515625" style="366" customWidth="1"/>
    <col min="8198" max="8198" width="16.28515625" style="366" customWidth="1"/>
    <col min="8199" max="8200" width="13.5703125" style="366" customWidth="1"/>
    <col min="8201" max="8202" width="15" style="366" customWidth="1"/>
    <col min="8203" max="8203" width="15.140625" style="366" customWidth="1"/>
    <col min="8204" max="8204" width="21.42578125" style="366" customWidth="1"/>
    <col min="8205" max="8449" width="9.140625" style="366"/>
    <col min="8450" max="8451" width="0" style="366" hidden="1" customWidth="1"/>
    <col min="8452" max="8452" width="48.140625" style="366" customWidth="1"/>
    <col min="8453" max="8453" width="3.28515625" style="366" customWidth="1"/>
    <col min="8454" max="8454" width="16.28515625" style="366" customWidth="1"/>
    <col min="8455" max="8456" width="13.5703125" style="366" customWidth="1"/>
    <col min="8457" max="8458" width="15" style="366" customWidth="1"/>
    <col min="8459" max="8459" width="15.140625" style="366" customWidth="1"/>
    <col min="8460" max="8460" width="21.42578125" style="366" customWidth="1"/>
    <col min="8461" max="8705" width="9.140625" style="366"/>
    <col min="8706" max="8707" width="0" style="366" hidden="1" customWidth="1"/>
    <col min="8708" max="8708" width="48.140625" style="366" customWidth="1"/>
    <col min="8709" max="8709" width="3.28515625" style="366" customWidth="1"/>
    <col min="8710" max="8710" width="16.28515625" style="366" customWidth="1"/>
    <col min="8711" max="8712" width="13.5703125" style="366" customWidth="1"/>
    <col min="8713" max="8714" width="15" style="366" customWidth="1"/>
    <col min="8715" max="8715" width="15.140625" style="366" customWidth="1"/>
    <col min="8716" max="8716" width="21.42578125" style="366" customWidth="1"/>
    <col min="8717" max="8961" width="9.140625" style="366"/>
    <col min="8962" max="8963" width="0" style="366" hidden="1" customWidth="1"/>
    <col min="8964" max="8964" width="48.140625" style="366" customWidth="1"/>
    <col min="8965" max="8965" width="3.28515625" style="366" customWidth="1"/>
    <col min="8966" max="8966" width="16.28515625" style="366" customWidth="1"/>
    <col min="8967" max="8968" width="13.5703125" style="366" customWidth="1"/>
    <col min="8969" max="8970" width="15" style="366" customWidth="1"/>
    <col min="8971" max="8971" width="15.140625" style="366" customWidth="1"/>
    <col min="8972" max="8972" width="21.42578125" style="366" customWidth="1"/>
    <col min="8973" max="9217" width="9.140625" style="366"/>
    <col min="9218" max="9219" width="0" style="366" hidden="1" customWidth="1"/>
    <col min="9220" max="9220" width="48.140625" style="366" customWidth="1"/>
    <col min="9221" max="9221" width="3.28515625" style="366" customWidth="1"/>
    <col min="9222" max="9222" width="16.28515625" style="366" customWidth="1"/>
    <col min="9223" max="9224" width="13.5703125" style="366" customWidth="1"/>
    <col min="9225" max="9226" width="15" style="366" customWidth="1"/>
    <col min="9227" max="9227" width="15.140625" style="366" customWidth="1"/>
    <col min="9228" max="9228" width="21.42578125" style="366" customWidth="1"/>
    <col min="9229" max="9473" width="9.140625" style="366"/>
    <col min="9474" max="9475" width="0" style="366" hidden="1" customWidth="1"/>
    <col min="9476" max="9476" width="48.140625" style="366" customWidth="1"/>
    <col min="9477" max="9477" width="3.28515625" style="366" customWidth="1"/>
    <col min="9478" max="9478" width="16.28515625" style="366" customWidth="1"/>
    <col min="9479" max="9480" width="13.5703125" style="366" customWidth="1"/>
    <col min="9481" max="9482" width="15" style="366" customWidth="1"/>
    <col min="9483" max="9483" width="15.140625" style="366" customWidth="1"/>
    <col min="9484" max="9484" width="21.42578125" style="366" customWidth="1"/>
    <col min="9485" max="9729" width="9.140625" style="366"/>
    <col min="9730" max="9731" width="0" style="366" hidden="1" customWidth="1"/>
    <col min="9732" max="9732" width="48.140625" style="366" customWidth="1"/>
    <col min="9733" max="9733" width="3.28515625" style="366" customWidth="1"/>
    <col min="9734" max="9734" width="16.28515625" style="366" customWidth="1"/>
    <col min="9735" max="9736" width="13.5703125" style="366" customWidth="1"/>
    <col min="9737" max="9738" width="15" style="366" customWidth="1"/>
    <col min="9739" max="9739" width="15.140625" style="366" customWidth="1"/>
    <col min="9740" max="9740" width="21.42578125" style="366" customWidth="1"/>
    <col min="9741" max="9985" width="9.140625" style="366"/>
    <col min="9986" max="9987" width="0" style="366" hidden="1" customWidth="1"/>
    <col min="9988" max="9988" width="48.140625" style="366" customWidth="1"/>
    <col min="9989" max="9989" width="3.28515625" style="366" customWidth="1"/>
    <col min="9990" max="9990" width="16.28515625" style="366" customWidth="1"/>
    <col min="9991" max="9992" width="13.5703125" style="366" customWidth="1"/>
    <col min="9993" max="9994" width="15" style="366" customWidth="1"/>
    <col min="9995" max="9995" width="15.140625" style="366" customWidth="1"/>
    <col min="9996" max="9996" width="21.42578125" style="366" customWidth="1"/>
    <col min="9997" max="10241" width="9.140625" style="366"/>
    <col min="10242" max="10243" width="0" style="366" hidden="1" customWidth="1"/>
    <col min="10244" max="10244" width="48.140625" style="366" customWidth="1"/>
    <col min="10245" max="10245" width="3.28515625" style="366" customWidth="1"/>
    <col min="10246" max="10246" width="16.28515625" style="366" customWidth="1"/>
    <col min="10247" max="10248" width="13.5703125" style="366" customWidth="1"/>
    <col min="10249" max="10250" width="15" style="366" customWidth="1"/>
    <col min="10251" max="10251" width="15.140625" style="366" customWidth="1"/>
    <col min="10252" max="10252" width="21.42578125" style="366" customWidth="1"/>
    <col min="10253" max="10497" width="9.140625" style="366"/>
    <col min="10498" max="10499" width="0" style="366" hidden="1" customWidth="1"/>
    <col min="10500" max="10500" width="48.140625" style="366" customWidth="1"/>
    <col min="10501" max="10501" width="3.28515625" style="366" customWidth="1"/>
    <col min="10502" max="10502" width="16.28515625" style="366" customWidth="1"/>
    <col min="10503" max="10504" width="13.5703125" style="366" customWidth="1"/>
    <col min="10505" max="10506" width="15" style="366" customWidth="1"/>
    <col min="10507" max="10507" width="15.140625" style="366" customWidth="1"/>
    <col min="10508" max="10508" width="21.42578125" style="366" customWidth="1"/>
    <col min="10509" max="10753" width="9.140625" style="366"/>
    <col min="10754" max="10755" width="0" style="366" hidden="1" customWidth="1"/>
    <col min="10756" max="10756" width="48.140625" style="366" customWidth="1"/>
    <col min="10757" max="10757" width="3.28515625" style="366" customWidth="1"/>
    <col min="10758" max="10758" width="16.28515625" style="366" customWidth="1"/>
    <col min="10759" max="10760" width="13.5703125" style="366" customWidth="1"/>
    <col min="10761" max="10762" width="15" style="366" customWidth="1"/>
    <col min="10763" max="10763" width="15.140625" style="366" customWidth="1"/>
    <col min="10764" max="10764" width="21.42578125" style="366" customWidth="1"/>
    <col min="10765" max="11009" width="9.140625" style="366"/>
    <col min="11010" max="11011" width="0" style="366" hidden="1" customWidth="1"/>
    <col min="11012" max="11012" width="48.140625" style="366" customWidth="1"/>
    <col min="11013" max="11013" width="3.28515625" style="366" customWidth="1"/>
    <col min="11014" max="11014" width="16.28515625" style="366" customWidth="1"/>
    <col min="11015" max="11016" width="13.5703125" style="366" customWidth="1"/>
    <col min="11017" max="11018" width="15" style="366" customWidth="1"/>
    <col min="11019" max="11019" width="15.140625" style="366" customWidth="1"/>
    <col min="11020" max="11020" width="21.42578125" style="366" customWidth="1"/>
    <col min="11021" max="11265" width="9.140625" style="366"/>
    <col min="11266" max="11267" width="0" style="366" hidden="1" customWidth="1"/>
    <col min="11268" max="11268" width="48.140625" style="366" customWidth="1"/>
    <col min="11269" max="11269" width="3.28515625" style="366" customWidth="1"/>
    <col min="11270" max="11270" width="16.28515625" style="366" customWidth="1"/>
    <col min="11271" max="11272" width="13.5703125" style="366" customWidth="1"/>
    <col min="11273" max="11274" width="15" style="366" customWidth="1"/>
    <col min="11275" max="11275" width="15.140625" style="366" customWidth="1"/>
    <col min="11276" max="11276" width="21.42578125" style="366" customWidth="1"/>
    <col min="11277" max="11521" width="9.140625" style="366"/>
    <col min="11522" max="11523" width="0" style="366" hidden="1" customWidth="1"/>
    <col min="11524" max="11524" width="48.140625" style="366" customWidth="1"/>
    <col min="11525" max="11525" width="3.28515625" style="366" customWidth="1"/>
    <col min="11526" max="11526" width="16.28515625" style="366" customWidth="1"/>
    <col min="11527" max="11528" width="13.5703125" style="366" customWidth="1"/>
    <col min="11529" max="11530" width="15" style="366" customWidth="1"/>
    <col min="11531" max="11531" width="15.140625" style="366" customWidth="1"/>
    <col min="11532" max="11532" width="21.42578125" style="366" customWidth="1"/>
    <col min="11533" max="11777" width="9.140625" style="366"/>
    <col min="11778" max="11779" width="0" style="366" hidden="1" customWidth="1"/>
    <col min="11780" max="11780" width="48.140625" style="366" customWidth="1"/>
    <col min="11781" max="11781" width="3.28515625" style="366" customWidth="1"/>
    <col min="11782" max="11782" width="16.28515625" style="366" customWidth="1"/>
    <col min="11783" max="11784" width="13.5703125" style="366" customWidth="1"/>
    <col min="11785" max="11786" width="15" style="366" customWidth="1"/>
    <col min="11787" max="11787" width="15.140625" style="366" customWidth="1"/>
    <col min="11788" max="11788" width="21.42578125" style="366" customWidth="1"/>
    <col min="11789" max="12033" width="9.140625" style="366"/>
    <col min="12034" max="12035" width="0" style="366" hidden="1" customWidth="1"/>
    <col min="12036" max="12036" width="48.140625" style="366" customWidth="1"/>
    <col min="12037" max="12037" width="3.28515625" style="366" customWidth="1"/>
    <col min="12038" max="12038" width="16.28515625" style="366" customWidth="1"/>
    <col min="12039" max="12040" width="13.5703125" style="366" customWidth="1"/>
    <col min="12041" max="12042" width="15" style="366" customWidth="1"/>
    <col min="12043" max="12043" width="15.140625" style="366" customWidth="1"/>
    <col min="12044" max="12044" width="21.42578125" style="366" customWidth="1"/>
    <col min="12045" max="12289" width="9.140625" style="366"/>
    <col min="12290" max="12291" width="0" style="366" hidden="1" customWidth="1"/>
    <col min="12292" max="12292" width="48.140625" style="366" customWidth="1"/>
    <col min="12293" max="12293" width="3.28515625" style="366" customWidth="1"/>
    <col min="12294" max="12294" width="16.28515625" style="366" customWidth="1"/>
    <col min="12295" max="12296" width="13.5703125" style="366" customWidth="1"/>
    <col min="12297" max="12298" width="15" style="366" customWidth="1"/>
    <col min="12299" max="12299" width="15.140625" style="366" customWidth="1"/>
    <col min="12300" max="12300" width="21.42578125" style="366" customWidth="1"/>
    <col min="12301" max="12545" width="9.140625" style="366"/>
    <col min="12546" max="12547" width="0" style="366" hidden="1" customWidth="1"/>
    <col min="12548" max="12548" width="48.140625" style="366" customWidth="1"/>
    <col min="12549" max="12549" width="3.28515625" style="366" customWidth="1"/>
    <col min="12550" max="12550" width="16.28515625" style="366" customWidth="1"/>
    <col min="12551" max="12552" width="13.5703125" style="366" customWidth="1"/>
    <col min="12553" max="12554" width="15" style="366" customWidth="1"/>
    <col min="12555" max="12555" width="15.140625" style="366" customWidth="1"/>
    <col min="12556" max="12556" width="21.42578125" style="366" customWidth="1"/>
    <col min="12557" max="12801" width="9.140625" style="366"/>
    <col min="12802" max="12803" width="0" style="366" hidden="1" customWidth="1"/>
    <col min="12804" max="12804" width="48.140625" style="366" customWidth="1"/>
    <col min="12805" max="12805" width="3.28515625" style="366" customWidth="1"/>
    <col min="12806" max="12806" width="16.28515625" style="366" customWidth="1"/>
    <col min="12807" max="12808" width="13.5703125" style="366" customWidth="1"/>
    <col min="12809" max="12810" width="15" style="366" customWidth="1"/>
    <col min="12811" max="12811" width="15.140625" style="366" customWidth="1"/>
    <col min="12812" max="12812" width="21.42578125" style="366" customWidth="1"/>
    <col min="12813" max="13057" width="9.140625" style="366"/>
    <col min="13058" max="13059" width="0" style="366" hidden="1" customWidth="1"/>
    <col min="13060" max="13060" width="48.140625" style="366" customWidth="1"/>
    <col min="13061" max="13061" width="3.28515625" style="366" customWidth="1"/>
    <col min="13062" max="13062" width="16.28515625" style="366" customWidth="1"/>
    <col min="13063" max="13064" width="13.5703125" style="366" customWidth="1"/>
    <col min="13065" max="13066" width="15" style="366" customWidth="1"/>
    <col min="13067" max="13067" width="15.140625" style="366" customWidth="1"/>
    <col min="13068" max="13068" width="21.42578125" style="366" customWidth="1"/>
    <col min="13069" max="13313" width="9.140625" style="366"/>
    <col min="13314" max="13315" width="0" style="366" hidden="1" customWidth="1"/>
    <col min="13316" max="13316" width="48.140625" style="366" customWidth="1"/>
    <col min="13317" max="13317" width="3.28515625" style="366" customWidth="1"/>
    <col min="13318" max="13318" width="16.28515625" style="366" customWidth="1"/>
    <col min="13319" max="13320" width="13.5703125" style="366" customWidth="1"/>
    <col min="13321" max="13322" width="15" style="366" customWidth="1"/>
    <col min="13323" max="13323" width="15.140625" style="366" customWidth="1"/>
    <col min="13324" max="13324" width="21.42578125" style="366" customWidth="1"/>
    <col min="13325" max="13569" width="9.140625" style="366"/>
    <col min="13570" max="13571" width="0" style="366" hidden="1" customWidth="1"/>
    <col min="13572" max="13572" width="48.140625" style="366" customWidth="1"/>
    <col min="13573" max="13573" width="3.28515625" style="366" customWidth="1"/>
    <col min="13574" max="13574" width="16.28515625" style="366" customWidth="1"/>
    <col min="13575" max="13576" width="13.5703125" style="366" customWidth="1"/>
    <col min="13577" max="13578" width="15" style="366" customWidth="1"/>
    <col min="13579" max="13579" width="15.140625" style="366" customWidth="1"/>
    <col min="13580" max="13580" width="21.42578125" style="366" customWidth="1"/>
    <col min="13581" max="13825" width="9.140625" style="366"/>
    <col min="13826" max="13827" width="0" style="366" hidden="1" customWidth="1"/>
    <col min="13828" max="13828" width="48.140625" style="366" customWidth="1"/>
    <col min="13829" max="13829" width="3.28515625" style="366" customWidth="1"/>
    <col min="13830" max="13830" width="16.28515625" style="366" customWidth="1"/>
    <col min="13831" max="13832" width="13.5703125" style="366" customWidth="1"/>
    <col min="13833" max="13834" width="15" style="366" customWidth="1"/>
    <col min="13835" max="13835" width="15.140625" style="366" customWidth="1"/>
    <col min="13836" max="13836" width="21.42578125" style="366" customWidth="1"/>
    <col min="13837" max="14081" width="9.140625" style="366"/>
    <col min="14082" max="14083" width="0" style="366" hidden="1" customWidth="1"/>
    <col min="14084" max="14084" width="48.140625" style="366" customWidth="1"/>
    <col min="14085" max="14085" width="3.28515625" style="366" customWidth="1"/>
    <col min="14086" max="14086" width="16.28515625" style="366" customWidth="1"/>
    <col min="14087" max="14088" width="13.5703125" style="366" customWidth="1"/>
    <col min="14089" max="14090" width="15" style="366" customWidth="1"/>
    <col min="14091" max="14091" width="15.140625" style="366" customWidth="1"/>
    <col min="14092" max="14092" width="21.42578125" style="366" customWidth="1"/>
    <col min="14093" max="14337" width="9.140625" style="366"/>
    <col min="14338" max="14339" width="0" style="366" hidden="1" customWidth="1"/>
    <col min="14340" max="14340" width="48.140625" style="366" customWidth="1"/>
    <col min="14341" max="14341" width="3.28515625" style="366" customWidth="1"/>
    <col min="14342" max="14342" width="16.28515625" style="366" customWidth="1"/>
    <col min="14343" max="14344" width="13.5703125" style="366" customWidth="1"/>
    <col min="14345" max="14346" width="15" style="366" customWidth="1"/>
    <col min="14347" max="14347" width="15.140625" style="366" customWidth="1"/>
    <col min="14348" max="14348" width="21.42578125" style="366" customWidth="1"/>
    <col min="14349" max="14593" width="9.140625" style="366"/>
    <col min="14594" max="14595" width="0" style="366" hidden="1" customWidth="1"/>
    <col min="14596" max="14596" width="48.140625" style="366" customWidth="1"/>
    <col min="14597" max="14597" width="3.28515625" style="366" customWidth="1"/>
    <col min="14598" max="14598" width="16.28515625" style="366" customWidth="1"/>
    <col min="14599" max="14600" width="13.5703125" style="366" customWidth="1"/>
    <col min="14601" max="14602" width="15" style="366" customWidth="1"/>
    <col min="14603" max="14603" width="15.140625" style="366" customWidth="1"/>
    <col min="14604" max="14604" width="21.42578125" style="366" customWidth="1"/>
    <col min="14605" max="14849" width="9.140625" style="366"/>
    <col min="14850" max="14851" width="0" style="366" hidden="1" customWidth="1"/>
    <col min="14852" max="14852" width="48.140625" style="366" customWidth="1"/>
    <col min="14853" max="14853" width="3.28515625" style="366" customWidth="1"/>
    <col min="14854" max="14854" width="16.28515625" style="366" customWidth="1"/>
    <col min="14855" max="14856" width="13.5703125" style="366" customWidth="1"/>
    <col min="14857" max="14858" width="15" style="366" customWidth="1"/>
    <col min="14859" max="14859" width="15.140625" style="366" customWidth="1"/>
    <col min="14860" max="14860" width="21.42578125" style="366" customWidth="1"/>
    <col min="14861" max="15105" width="9.140625" style="366"/>
    <col min="15106" max="15107" width="0" style="366" hidden="1" customWidth="1"/>
    <col min="15108" max="15108" width="48.140625" style="366" customWidth="1"/>
    <col min="15109" max="15109" width="3.28515625" style="366" customWidth="1"/>
    <col min="15110" max="15110" width="16.28515625" style="366" customWidth="1"/>
    <col min="15111" max="15112" width="13.5703125" style="366" customWidth="1"/>
    <col min="15113" max="15114" width="15" style="366" customWidth="1"/>
    <col min="15115" max="15115" width="15.140625" style="366" customWidth="1"/>
    <col min="15116" max="15116" width="21.42578125" style="366" customWidth="1"/>
    <col min="15117" max="15361" width="9.140625" style="366"/>
    <col min="15362" max="15363" width="0" style="366" hidden="1" customWidth="1"/>
    <col min="15364" max="15364" width="48.140625" style="366" customWidth="1"/>
    <col min="15365" max="15365" width="3.28515625" style="366" customWidth="1"/>
    <col min="15366" max="15366" width="16.28515625" style="366" customWidth="1"/>
    <col min="15367" max="15368" width="13.5703125" style="366" customWidth="1"/>
    <col min="15369" max="15370" width="15" style="366" customWidth="1"/>
    <col min="15371" max="15371" width="15.140625" style="366" customWidth="1"/>
    <col min="15372" max="15372" width="21.42578125" style="366" customWidth="1"/>
    <col min="15373" max="15617" width="9.140625" style="366"/>
    <col min="15618" max="15619" width="0" style="366" hidden="1" customWidth="1"/>
    <col min="15620" max="15620" width="48.140625" style="366" customWidth="1"/>
    <col min="15621" max="15621" width="3.28515625" style="366" customWidth="1"/>
    <col min="15622" max="15622" width="16.28515625" style="366" customWidth="1"/>
    <col min="15623" max="15624" width="13.5703125" style="366" customWidth="1"/>
    <col min="15625" max="15626" width="15" style="366" customWidth="1"/>
    <col min="15627" max="15627" width="15.140625" style="366" customWidth="1"/>
    <col min="15628" max="15628" width="21.42578125" style="366" customWidth="1"/>
    <col min="15629" max="15873" width="9.140625" style="366"/>
    <col min="15874" max="15875" width="0" style="366" hidden="1" customWidth="1"/>
    <col min="15876" max="15876" width="48.140625" style="366" customWidth="1"/>
    <col min="15877" max="15877" width="3.28515625" style="366" customWidth="1"/>
    <col min="15878" max="15878" width="16.28515625" style="366" customWidth="1"/>
    <col min="15879" max="15880" width="13.5703125" style="366" customWidth="1"/>
    <col min="15881" max="15882" width="15" style="366" customWidth="1"/>
    <col min="15883" max="15883" width="15.140625" style="366" customWidth="1"/>
    <col min="15884" max="15884" width="21.42578125" style="366" customWidth="1"/>
    <col min="15885" max="16129" width="9.140625" style="366"/>
    <col min="16130" max="16131" width="0" style="366" hidden="1" customWidth="1"/>
    <col min="16132" max="16132" width="48.140625" style="366" customWidth="1"/>
    <col min="16133" max="16133" width="3.28515625" style="366" customWidth="1"/>
    <col min="16134" max="16134" width="16.28515625" style="366" customWidth="1"/>
    <col min="16135" max="16136" width="13.5703125" style="366" customWidth="1"/>
    <col min="16137" max="16138" width="15" style="366" customWidth="1"/>
    <col min="16139" max="16139" width="15.140625" style="366" customWidth="1"/>
    <col min="16140" max="16140" width="21.42578125" style="366" customWidth="1"/>
    <col min="16141" max="16384" width="9.140625" style="366"/>
  </cols>
  <sheetData>
    <row r="1" spans="2:16" s="365" customFormat="1" ht="15.75">
      <c r="B1" s="523" t="s">
        <v>0</v>
      </c>
      <c r="C1" s="523"/>
      <c r="D1" s="523"/>
      <c r="E1" s="523"/>
      <c r="F1" s="523"/>
      <c r="G1" s="523"/>
      <c r="H1" s="523"/>
      <c r="I1" s="523"/>
      <c r="J1" s="523"/>
      <c r="K1" s="523"/>
    </row>
    <row r="2" spans="2:16" s="365" customFormat="1" ht="15.75">
      <c r="C2" s="2" t="s">
        <v>89</v>
      </c>
      <c r="D2" s="2"/>
      <c r="E2" s="141"/>
      <c r="F2" s="141"/>
      <c r="G2" s="141"/>
      <c r="H2" s="141"/>
      <c r="I2" s="141"/>
      <c r="J2" s="141"/>
      <c r="K2" s="141"/>
    </row>
    <row r="3" spans="2:16" s="365" customFormat="1" ht="16.5" thickBot="1">
      <c r="C3" s="2" t="s">
        <v>2066</v>
      </c>
      <c r="D3" s="2"/>
      <c r="E3" s="141"/>
      <c r="F3" s="141"/>
      <c r="G3" s="141"/>
      <c r="H3" s="141"/>
      <c r="I3" s="141"/>
      <c r="J3" s="141"/>
      <c r="K3" s="141"/>
    </row>
    <row r="4" spans="2:16" ht="18.75" customHeight="1" thickTop="1" thickBot="1">
      <c r="C4" s="4" t="s">
        <v>3</v>
      </c>
      <c r="D4" s="5"/>
      <c r="E4" s="6"/>
      <c r="F4" s="7"/>
      <c r="G4" s="6"/>
      <c r="H4" s="524" t="s">
        <v>4</v>
      </c>
      <c r="I4" s="524"/>
      <c r="J4" s="8"/>
      <c r="K4" s="367"/>
      <c r="L4" s="9"/>
      <c r="M4" s="9"/>
      <c r="N4" s="9"/>
      <c r="O4" s="9"/>
      <c r="P4" s="9"/>
    </row>
    <row r="5" spans="2:16" ht="27.75" customHeight="1" thickBot="1">
      <c r="C5" s="10" t="s">
        <v>5</v>
      </c>
      <c r="D5" s="11"/>
      <c r="E5" s="12" t="s">
        <v>6</v>
      </c>
      <c r="F5" s="13" t="s">
        <v>7</v>
      </c>
      <c r="G5" s="14" t="s">
        <v>8</v>
      </c>
      <c r="H5" s="15" t="s">
        <v>9</v>
      </c>
      <c r="I5" s="15" t="s">
        <v>10</v>
      </c>
      <c r="J5" s="15"/>
      <c r="K5" s="368"/>
      <c r="L5" s="9"/>
      <c r="M5" s="9"/>
      <c r="N5" s="9"/>
      <c r="O5" s="9"/>
      <c r="P5" s="9"/>
    </row>
    <row r="6" spans="2:16">
      <c r="C6" s="16" t="s">
        <v>11</v>
      </c>
      <c r="D6" s="17"/>
      <c r="E6" s="201">
        <v>92071459.129999995</v>
      </c>
      <c r="F6" s="20"/>
      <c r="G6" s="202">
        <v>0</v>
      </c>
      <c r="H6" s="203">
        <v>0</v>
      </c>
      <c r="I6" s="22">
        <v>0</v>
      </c>
      <c r="J6" s="23"/>
      <c r="K6" s="369"/>
      <c r="L6" s="24"/>
      <c r="M6" s="24"/>
      <c r="N6" s="24"/>
      <c r="O6" s="24"/>
      <c r="P6" s="24"/>
    </row>
    <row r="7" spans="2:16">
      <c r="C7" s="16" t="s">
        <v>14</v>
      </c>
      <c r="D7" s="17"/>
      <c r="E7" s="202">
        <v>0</v>
      </c>
      <c r="F7" s="20"/>
      <c r="G7" s="202">
        <v>0</v>
      </c>
      <c r="H7" s="203">
        <v>0</v>
      </c>
      <c r="I7" s="22">
        <v>0</v>
      </c>
      <c r="J7" s="23"/>
      <c r="K7" s="369"/>
      <c r="L7" s="24"/>
      <c r="M7" s="24"/>
      <c r="N7" s="24"/>
      <c r="O7" s="24"/>
      <c r="P7" s="24"/>
    </row>
    <row r="8" spans="2:16">
      <c r="C8" s="16" t="s">
        <v>15</v>
      </c>
      <c r="D8" s="17"/>
      <c r="E8" s="202">
        <v>0</v>
      </c>
      <c r="F8" s="20"/>
      <c r="G8" s="202">
        <v>0</v>
      </c>
      <c r="H8" s="203">
        <v>0</v>
      </c>
      <c r="I8" s="22">
        <v>0</v>
      </c>
      <c r="J8" s="23"/>
      <c r="K8" s="369"/>
      <c r="L8" s="24"/>
      <c r="M8" s="24"/>
      <c r="N8" s="24"/>
      <c r="O8" s="24"/>
      <c r="P8" s="24"/>
    </row>
    <row r="9" spans="2:16">
      <c r="C9" s="25" t="s">
        <v>16</v>
      </c>
      <c r="D9" s="26"/>
      <c r="E9" s="525" t="s">
        <v>542</v>
      </c>
      <c r="F9" s="526"/>
      <c r="G9" s="526"/>
      <c r="H9" s="526"/>
      <c r="I9" s="527"/>
      <c r="J9" s="24"/>
      <c r="K9" s="369"/>
      <c r="L9" s="24"/>
      <c r="M9" s="24"/>
      <c r="N9" s="24"/>
      <c r="O9" s="24"/>
      <c r="P9" s="24"/>
    </row>
    <row r="10" spans="2:16">
      <c r="C10" s="31" t="s">
        <v>17</v>
      </c>
      <c r="D10" s="24"/>
      <c r="E10" s="528" t="s">
        <v>92</v>
      </c>
      <c r="F10" s="529"/>
      <c r="G10" s="529"/>
      <c r="H10" s="529"/>
      <c r="I10" s="530"/>
      <c r="J10" s="35"/>
      <c r="K10" s="369"/>
      <c r="L10" s="24"/>
      <c r="M10" s="35"/>
      <c r="N10" s="35"/>
      <c r="O10" s="35"/>
      <c r="P10" s="35"/>
    </row>
    <row r="11" spans="2:16">
      <c r="C11" s="16" t="s">
        <v>18</v>
      </c>
      <c r="D11" s="17"/>
      <c r="E11" s="531" t="s">
        <v>543</v>
      </c>
      <c r="F11" s="532"/>
      <c r="G11" s="532"/>
      <c r="H11" s="532"/>
      <c r="I11" s="533"/>
      <c r="J11" s="35"/>
      <c r="K11" s="369"/>
      <c r="L11" s="24"/>
      <c r="M11" s="35"/>
      <c r="N11" s="35"/>
      <c r="O11" s="35"/>
      <c r="P11" s="35"/>
    </row>
    <row r="12" spans="2:16">
      <c r="C12" s="38" t="s">
        <v>19</v>
      </c>
      <c r="D12" s="39"/>
      <c r="E12" s="204">
        <v>495</v>
      </c>
      <c r="F12" s="370"/>
      <c r="G12" s="371" t="s">
        <v>20</v>
      </c>
      <c r="H12" s="371"/>
      <c r="I12" s="43"/>
      <c r="J12" s="43"/>
      <c r="K12" s="369"/>
      <c r="L12" s="24"/>
      <c r="M12" s="35"/>
      <c r="N12" s="35"/>
      <c r="O12" s="35"/>
      <c r="P12" s="35"/>
    </row>
    <row r="13" spans="2:16">
      <c r="C13" s="38" t="s">
        <v>21</v>
      </c>
      <c r="D13" s="39"/>
      <c r="E13" s="343">
        <v>1995</v>
      </c>
      <c r="F13" s="343">
        <v>2020</v>
      </c>
      <c r="G13" s="44"/>
      <c r="H13" s="44"/>
      <c r="I13" s="45"/>
      <c r="J13" s="45"/>
      <c r="K13" s="369"/>
      <c r="L13" s="46"/>
      <c r="M13" s="35"/>
      <c r="N13" s="35"/>
      <c r="O13" s="35"/>
      <c r="P13" s="35"/>
    </row>
    <row r="14" spans="2:16">
      <c r="C14" s="38" t="s">
        <v>23</v>
      </c>
      <c r="D14" s="39"/>
      <c r="E14" s="201">
        <v>250</v>
      </c>
      <c r="F14" s="47">
        <v>0</v>
      </c>
      <c r="G14" s="48" t="s">
        <v>24</v>
      </c>
      <c r="H14" s="48"/>
      <c r="I14" s="45"/>
      <c r="J14" s="45"/>
      <c r="K14" s="369"/>
      <c r="L14" s="46"/>
      <c r="M14" s="35"/>
      <c r="N14" s="35"/>
      <c r="O14" s="35"/>
      <c r="P14" s="35"/>
    </row>
    <row r="15" spans="2:16">
      <c r="C15" s="49" t="s">
        <v>25</v>
      </c>
      <c r="D15" s="45"/>
      <c r="E15" s="50" t="s">
        <v>26</v>
      </c>
      <c r="F15" s="261">
        <v>45930</v>
      </c>
      <c r="G15" s="416">
        <v>46022</v>
      </c>
      <c r="H15" s="416">
        <v>46112</v>
      </c>
      <c r="I15" s="418">
        <f>H15</f>
        <v>46112</v>
      </c>
      <c r="J15" s="53"/>
      <c r="K15" s="369"/>
      <c r="L15" s="35"/>
      <c r="M15" s="35"/>
      <c r="N15" s="35"/>
      <c r="O15" s="35"/>
      <c r="P15" s="35"/>
    </row>
    <row r="16" spans="2:16">
      <c r="C16" s="54" t="s">
        <v>27</v>
      </c>
      <c r="D16" s="55"/>
      <c r="E16" s="435">
        <f>1-5.9%</f>
        <v>0.94099999999999995</v>
      </c>
      <c r="F16" s="436">
        <v>0.93333333333333335</v>
      </c>
      <c r="G16" s="437">
        <v>0.91717171717171719</v>
      </c>
      <c r="H16" s="437">
        <v>0.91919191919191923</v>
      </c>
      <c r="I16" s="438">
        <f>'Rent Roll'!L543</f>
        <v>0.91951710261569419</v>
      </c>
      <c r="J16" s="56"/>
      <c r="K16" s="369"/>
      <c r="L16" s="35"/>
      <c r="M16" s="516">
        <f>I16-H16</f>
        <v>3.2518342377496623E-4</v>
      </c>
      <c r="N16" s="35"/>
      <c r="O16" s="35"/>
      <c r="P16" s="35"/>
    </row>
    <row r="17" spans="3:16">
      <c r="C17" s="54" t="s">
        <v>28</v>
      </c>
      <c r="D17" s="55"/>
      <c r="E17" s="19"/>
      <c r="F17" s="205">
        <v>45930</v>
      </c>
      <c r="G17" s="417">
        <v>46022</v>
      </c>
      <c r="H17" s="417">
        <v>46112</v>
      </c>
      <c r="I17" s="419">
        <f>I15</f>
        <v>46112</v>
      </c>
      <c r="J17" s="57"/>
      <c r="K17" s="369"/>
      <c r="L17" s="35"/>
      <c r="M17" s="35"/>
      <c r="N17" s="35"/>
      <c r="O17" s="35"/>
      <c r="P17" s="35"/>
    </row>
    <row r="18" spans="3:16">
      <c r="C18" s="38"/>
      <c r="D18" s="39"/>
      <c r="E18" s="58" t="s">
        <v>29</v>
      </c>
      <c r="F18" s="59"/>
      <c r="G18" s="60"/>
      <c r="H18" s="59"/>
      <c r="I18" s="60"/>
      <c r="J18" s="60"/>
      <c r="K18" s="369"/>
      <c r="L18" s="35"/>
      <c r="M18" s="35"/>
      <c r="N18" s="35"/>
      <c r="O18" s="35"/>
      <c r="P18" s="35"/>
    </row>
    <row r="19" spans="3:16" ht="13.5" thickBot="1">
      <c r="C19" s="61"/>
      <c r="D19" s="62"/>
      <c r="E19" s="63" t="s">
        <v>30</v>
      </c>
      <c r="F19" s="64"/>
      <c r="G19" s="65"/>
      <c r="H19" s="65"/>
      <c r="I19" s="65"/>
      <c r="J19" s="65"/>
      <c r="K19" s="372"/>
      <c r="L19" s="24"/>
      <c r="M19" s="24"/>
      <c r="N19" s="24"/>
      <c r="O19" s="24"/>
      <c r="P19" s="24"/>
    </row>
    <row r="20" spans="3:16" ht="13.5" thickTop="1">
      <c r="C20" s="69" t="s">
        <v>31</v>
      </c>
      <c r="D20" s="69"/>
      <c r="E20" s="70"/>
      <c r="F20" s="71"/>
      <c r="G20" s="71"/>
      <c r="H20" s="71"/>
      <c r="I20" s="71"/>
      <c r="J20" s="71"/>
      <c r="K20" s="66"/>
    </row>
    <row r="21" spans="3:16">
      <c r="C21" s="72" t="s">
        <v>32</v>
      </c>
      <c r="D21" s="72"/>
      <c r="E21" s="66"/>
      <c r="F21" s="439">
        <v>12</v>
      </c>
      <c r="G21" s="439">
        <v>12</v>
      </c>
      <c r="H21" s="439">
        <v>12</v>
      </c>
      <c r="I21" s="439">
        <v>12</v>
      </c>
      <c r="J21" s="373" t="s">
        <v>2046</v>
      </c>
      <c r="K21" s="374" t="s">
        <v>2047</v>
      </c>
    </row>
    <row r="22" spans="3:16">
      <c r="C22" s="72" t="s">
        <v>33</v>
      </c>
      <c r="D22" s="72"/>
      <c r="E22" s="75" t="s">
        <v>34</v>
      </c>
      <c r="F22" s="79" t="s">
        <v>2068</v>
      </c>
      <c r="G22" s="79" t="s">
        <v>2068</v>
      </c>
      <c r="H22" s="79" t="s">
        <v>2065</v>
      </c>
      <c r="I22" s="79" t="s">
        <v>2068</v>
      </c>
      <c r="J22" s="375" t="s">
        <v>2048</v>
      </c>
      <c r="K22" s="75" t="s">
        <v>2049</v>
      </c>
      <c r="L22" s="376"/>
    </row>
    <row r="23" spans="3:16" ht="13.5" thickBot="1">
      <c r="C23" s="72" t="s">
        <v>25</v>
      </c>
      <c r="D23" s="81"/>
      <c r="E23" s="82" t="s">
        <v>39</v>
      </c>
      <c r="F23" s="440" t="s">
        <v>1921</v>
      </c>
      <c r="G23" s="440" t="s">
        <v>2064</v>
      </c>
      <c r="H23" s="440" t="str">
        <f>I23</f>
        <v>as of 03/31/2026</v>
      </c>
      <c r="I23" s="440" t="str">
        <f t="shared" ref="I23" si="0">"as of "&amp;TEXT(I15,"MM/DD/YYYY")</f>
        <v>as of 03/31/2026</v>
      </c>
      <c r="J23" s="377" t="s">
        <v>2050</v>
      </c>
      <c r="K23" s="377" t="s">
        <v>2050</v>
      </c>
      <c r="L23" s="378" t="s">
        <v>91</v>
      </c>
    </row>
    <row r="24" spans="3:16">
      <c r="C24" s="72" t="s">
        <v>41</v>
      </c>
      <c r="D24" s="72"/>
      <c r="E24" s="445">
        <v>8474518.9733003657</v>
      </c>
      <c r="F24" s="446">
        <v>7840380</v>
      </c>
      <c r="G24" s="466">
        <v>7679808</v>
      </c>
      <c r="H24" s="451">
        <f>INDEX('Operating Statement'!W:W,MATCH('NEW OSAR'!$C24,'Operating Statement'!V:V,0))</f>
        <v>7969528.6600000001</v>
      </c>
      <c r="I24" s="441">
        <f>('Rent Roll'!M542*12)+'Operating Statement'!R54</f>
        <v>7693836</v>
      </c>
      <c r="J24" s="88">
        <f>IF(E24=0, " ",(H24-E24)/E24)</f>
        <v>-5.958925986140063E-2</v>
      </c>
      <c r="K24" s="88">
        <f>IF(G24=0, " ",(H24-G24)/G24)</f>
        <v>3.7724987395518238E-2</v>
      </c>
      <c r="L24" s="146" t="s">
        <v>2254</v>
      </c>
      <c r="N24" s="509">
        <f>I24-G24</f>
        <v>14028</v>
      </c>
      <c r="O24" s="510">
        <f>(I24-G24)/G24</f>
        <v>1.8266081652041301E-3</v>
      </c>
    </row>
    <row r="25" spans="3:16">
      <c r="C25" s="89" t="s">
        <v>42</v>
      </c>
      <c r="D25" s="90"/>
      <c r="E25" s="255">
        <v>-499996.61942472158</v>
      </c>
      <c r="F25" s="258">
        <v>0</v>
      </c>
      <c r="G25" s="432">
        <v>0</v>
      </c>
      <c r="H25" s="257">
        <f>INDEX('Operating Statement'!W:W,MATCH('NEW OSAR'!$C25,'Operating Statement'!V:V,0))</f>
        <v>-576358.57000000007</v>
      </c>
      <c r="I25" s="257">
        <f>IF(I16&gt;0.95,(I24/I16)*M25,0)</f>
        <v>0</v>
      </c>
      <c r="J25" s="88">
        <f>IF(E25=0, " ",(H25-E25)/E25)</f>
        <v>0.15272493374682783</v>
      </c>
      <c r="K25" s="88" t="str">
        <f>IF(G25=0, " ",(H25-G25)/G25)</f>
        <v xml:space="preserve"> </v>
      </c>
      <c r="L25" s="505" t="str">
        <f>"Greater of actual vacancy ("&amp;TEXT(1-I16,"0.00%")&amp;") and 5.00%"</f>
        <v>Greater of actual vacancy (8.05%) and 5.00%</v>
      </c>
      <c r="M25" s="423">
        <f>5%-(1-I16)</f>
        <v>-3.0482897384305804E-2</v>
      </c>
      <c r="N25" s="513"/>
      <c r="O25" s="508"/>
      <c r="P25" s="423"/>
    </row>
    <row r="26" spans="3:16">
      <c r="C26" s="91" t="s">
        <v>43</v>
      </c>
      <c r="D26" s="91"/>
      <c r="E26" s="456"/>
      <c r="F26" s="457"/>
      <c r="G26" s="467"/>
      <c r="H26" s="493"/>
      <c r="I26" s="457"/>
      <c r="J26" s="95"/>
      <c r="K26" s="92"/>
      <c r="L26" s="95"/>
      <c r="N26" s="513"/>
      <c r="O26" s="508"/>
    </row>
    <row r="27" spans="3:16">
      <c r="C27" s="72" t="s">
        <v>44</v>
      </c>
      <c r="D27" s="72"/>
      <c r="E27" s="458"/>
      <c r="F27" s="258"/>
      <c r="G27" s="432"/>
      <c r="H27" s="442">
        <f>INDEX('Operating Statement'!W:W,MATCH('NEW OSAR'!$C27,'Operating Statement'!V:V,0))</f>
        <v>0</v>
      </c>
      <c r="I27" s="459">
        <f>SUMIF('Operating Statement'!A:A,'NEW OSAR'!$C27,'Operating Statement'!S:S)</f>
        <v>0</v>
      </c>
      <c r="J27" s="88" t="str">
        <f>IF(E27=0, " ",(H27-E27)/E27)</f>
        <v xml:space="preserve"> </v>
      </c>
      <c r="K27" s="88" t="str">
        <f>IF(G27=0, " ",(H27-G27)/G27)</f>
        <v xml:space="preserve"> </v>
      </c>
      <c r="L27" s="505" t="str">
        <f>IF(G27=0, " ",(J27-G27)/G27)</f>
        <v xml:space="preserve"> </v>
      </c>
      <c r="N27" s="513"/>
      <c r="O27" s="508"/>
    </row>
    <row r="28" spans="3:16">
      <c r="C28" s="72" t="s">
        <v>2051</v>
      </c>
      <c r="D28" s="72"/>
      <c r="E28" s="255">
        <v>0</v>
      </c>
      <c r="F28" s="256">
        <v>0</v>
      </c>
      <c r="G28" s="432">
        <v>0</v>
      </c>
      <c r="H28" s="442">
        <f>INDEX('Operating Statement'!W:W,MATCH('NEW OSAR'!$C28,'Operating Statement'!V:V,0))</f>
        <v>0</v>
      </c>
      <c r="I28" s="459">
        <f>SUMIF('Operating Statement'!A:A,'NEW OSAR'!$C28,'Operating Statement'!S:S)</f>
        <v>0</v>
      </c>
      <c r="J28" s="88" t="str">
        <f>IF(E28=0, " ",(H28-E28)/E28)</f>
        <v xml:space="preserve"> </v>
      </c>
      <c r="K28" s="88" t="str">
        <f>IF(G28=0, " ",(H28-G28)/G28)</f>
        <v xml:space="preserve"> </v>
      </c>
      <c r="L28" s="505" t="str">
        <f>IF(G28=0, " ",(J28-G28)/G28)</f>
        <v xml:space="preserve"> </v>
      </c>
      <c r="N28" s="513"/>
      <c r="O28" s="508"/>
    </row>
    <row r="29" spans="3:16">
      <c r="C29" s="72" t="s">
        <v>47</v>
      </c>
      <c r="D29" s="72"/>
      <c r="E29" s="255">
        <v>0</v>
      </c>
      <c r="F29" s="256">
        <v>45753.120000000003</v>
      </c>
      <c r="G29" s="432">
        <v>43723.24</v>
      </c>
      <c r="H29" s="442">
        <f>INDEX('Operating Statement'!W:W,MATCH('NEW OSAR'!$C29,'Operating Statement'!V:V,0))</f>
        <v>44205.67</v>
      </c>
      <c r="I29" s="460">
        <f>SUMIF('Operating Statement'!A:A,'NEW OSAR'!$C29,'Operating Statement'!S:S)</f>
        <v>43379.96</v>
      </c>
      <c r="J29" s="88" t="str">
        <f>IF(E29=0, " ",(H29-E29)/E29)</f>
        <v xml:space="preserve"> </v>
      </c>
      <c r="K29" s="88">
        <f>IF(G29=0, " ",(H29-G29)/G29)</f>
        <v>1.103372028239445E-2</v>
      </c>
      <c r="L29" s="146" t="s">
        <v>289</v>
      </c>
      <c r="N29" s="513">
        <f t="shared" ref="N29:N51" si="1">I29-G29</f>
        <v>-343.27999999999884</v>
      </c>
      <c r="O29" s="508">
        <f t="shared" ref="O29:O51" si="2">(I29-G29)/G29</f>
        <v>-7.8512022439324904E-3</v>
      </c>
    </row>
    <row r="30" spans="3:16">
      <c r="C30" s="72" t="s">
        <v>48</v>
      </c>
      <c r="D30" s="72"/>
      <c r="E30" s="255">
        <f>1242919.25-117056-10606-114839.31</f>
        <v>1000417.94</v>
      </c>
      <c r="F30" s="256">
        <v>793695.26000000013</v>
      </c>
      <c r="G30" s="432">
        <v>812340.8</v>
      </c>
      <c r="H30" s="442">
        <f>INDEX('Operating Statement'!W:W,MATCH('NEW OSAR'!$C30,'Operating Statement'!V:V,0))</f>
        <v>1009345.01</v>
      </c>
      <c r="I30" s="460">
        <f>'Operating Statement'!R55</f>
        <v>820163.88000000012</v>
      </c>
      <c r="J30" s="88">
        <f>IF(E30=0, " ",(H30-E30)/E30)</f>
        <v>8.9233405790384631E-3</v>
      </c>
      <c r="K30" s="88">
        <f>IF(G30=0, " ",(H30-G30)/G30)</f>
        <v>0.2425142378666687</v>
      </c>
      <c r="L30" s="146" t="s">
        <v>2258</v>
      </c>
      <c r="N30" s="517">
        <f t="shared" si="1"/>
        <v>7823.0800000000745</v>
      </c>
      <c r="O30" s="518">
        <f t="shared" si="2"/>
        <v>9.6302930986601615E-3</v>
      </c>
    </row>
    <row r="31" spans="3:16">
      <c r="C31" s="66"/>
      <c r="D31" s="66"/>
      <c r="E31" s="96"/>
      <c r="F31" s="96"/>
      <c r="G31" s="468"/>
      <c r="H31" s="494"/>
      <c r="I31" s="425"/>
      <c r="J31" s="98"/>
      <c r="K31" s="96"/>
      <c r="L31" s="98"/>
      <c r="N31" s="513"/>
      <c r="O31" s="508"/>
    </row>
    <row r="32" spans="3:16">
      <c r="C32" s="99" t="s">
        <v>49</v>
      </c>
      <c r="D32" s="99"/>
      <c r="E32" s="447">
        <f>SUM(E24:E30)</f>
        <v>8974940.293875644</v>
      </c>
      <c r="F32" s="448">
        <v>8679828.3800000008</v>
      </c>
      <c r="G32" s="469">
        <v>8535872.040000001</v>
      </c>
      <c r="H32" s="455">
        <f>INDEX('Operating Statement'!W:W,MATCH('NEW OSAR'!$C32,'Operating Statement'!V:V,0))</f>
        <v>8446720.7699999996</v>
      </c>
      <c r="I32" s="430">
        <f>SUM(I24:I30)</f>
        <v>8557379.8399999999</v>
      </c>
      <c r="J32" s="88">
        <f>IF(E32=0, " ",(H32-E32)/E32)</f>
        <v>-5.8854934582249309E-2</v>
      </c>
      <c r="K32" s="88">
        <f>IF(G32=0, " ",(H32-G32)/G32)</f>
        <v>-1.0444307222768701E-2</v>
      </c>
      <c r="L32" s="88">
        <f>IF(G32=0, " ",(I32-G32)/G32)</f>
        <v>2.5196956912206568E-3</v>
      </c>
      <c r="N32" s="517">
        <f t="shared" si="1"/>
        <v>21507.799999998882</v>
      </c>
      <c r="O32" s="518">
        <f t="shared" si="2"/>
        <v>2.5196956912206568E-3</v>
      </c>
    </row>
    <row r="33" spans="3:16">
      <c r="C33" s="66"/>
      <c r="D33" s="66"/>
      <c r="E33" s="90" t="s">
        <v>50</v>
      </c>
      <c r="F33" s="60"/>
      <c r="G33" s="470"/>
      <c r="H33" s="495"/>
      <c r="I33" s="102"/>
      <c r="J33" s="379"/>
      <c r="K33" s="35"/>
      <c r="L33" s="379"/>
      <c r="N33" s="513"/>
      <c r="O33" s="508"/>
    </row>
    <row r="34" spans="3:16">
      <c r="C34" s="66"/>
      <c r="D34" s="66"/>
      <c r="F34" s="106"/>
      <c r="G34" s="471"/>
      <c r="H34" s="496"/>
      <c r="I34" s="107"/>
      <c r="J34" s="98"/>
      <c r="K34" s="67"/>
      <c r="L34" s="98"/>
      <c r="N34" s="513"/>
      <c r="O34" s="508"/>
    </row>
    <row r="35" spans="3:16">
      <c r="C35" s="69" t="s">
        <v>51</v>
      </c>
      <c r="D35" s="69"/>
      <c r="E35" s="109"/>
      <c r="F35" s="106"/>
      <c r="G35" s="471"/>
      <c r="H35" s="497"/>
      <c r="I35" s="425"/>
      <c r="J35" s="98" t="str">
        <f t="shared" ref="J35:J47" si="3">IF(E35=0, " ",(H35-E35)/E35)</f>
        <v xml:space="preserve"> </v>
      </c>
      <c r="K35" s="67"/>
      <c r="L35" s="98" t="str">
        <f t="shared" ref="L35" si="4">IF(G35=0, " ",(J35-G35)/G35)</f>
        <v xml:space="preserve"> </v>
      </c>
      <c r="N35" s="513"/>
      <c r="O35" s="508"/>
    </row>
    <row r="36" spans="3:16">
      <c r="C36" s="72" t="s">
        <v>52</v>
      </c>
      <c r="D36" s="72"/>
      <c r="E36" s="450">
        <v>387582.99999999994</v>
      </c>
      <c r="F36" s="446">
        <v>384021.67</v>
      </c>
      <c r="G36" s="466">
        <v>385107.81</v>
      </c>
      <c r="H36" s="451">
        <f>INDEX('Operating Statement'!W:W,MATCH('NEW OSAR'!$C36,'Operating Statement'!V:V,0))</f>
        <v>389066.52</v>
      </c>
      <c r="I36" s="451">
        <f>MAX(H36,Tax!B3)</f>
        <v>389066.52</v>
      </c>
      <c r="J36" s="88">
        <f t="shared" si="3"/>
        <v>3.8276188584124614E-3</v>
      </c>
      <c r="K36" s="88">
        <f t="shared" ref="K36:K47" si="5">IF(G36=0, " ",(H36-G36)/G36)</f>
        <v>1.0279485113532289E-2</v>
      </c>
      <c r="L36" s="505" t="s">
        <v>2256</v>
      </c>
      <c r="N36" s="513">
        <f t="shared" si="1"/>
        <v>3958.710000000021</v>
      </c>
      <c r="O36" s="508">
        <f t="shared" si="2"/>
        <v>1.0279485113532289E-2</v>
      </c>
    </row>
    <row r="37" spans="3:16">
      <c r="C37" s="72" t="s">
        <v>53</v>
      </c>
      <c r="D37" s="72"/>
      <c r="E37" s="255">
        <v>139580.37649999998</v>
      </c>
      <c r="F37" s="256">
        <v>130448.95</v>
      </c>
      <c r="G37" s="432">
        <v>131369.85</v>
      </c>
      <c r="H37" s="442">
        <f>INDEX('Operating Statement'!W:W,MATCH('NEW OSAR'!$C37,'Operating Statement'!V:V,0))</f>
        <v>130999.1</v>
      </c>
      <c r="I37" s="442">
        <f>INDEX('Operating Statement'!W:W,MATCH('NEW OSAR'!$C37,'Operating Statement'!V:V,0))</f>
        <v>130999.1</v>
      </c>
      <c r="J37" s="88">
        <f t="shared" si="3"/>
        <v>-6.1479104120341584E-2</v>
      </c>
      <c r="K37" s="88">
        <f t="shared" si="5"/>
        <v>-2.8221848468274872E-3</v>
      </c>
      <c r="L37" s="505" t="s">
        <v>2257</v>
      </c>
      <c r="N37" s="513">
        <f t="shared" si="1"/>
        <v>-370.75</v>
      </c>
      <c r="O37" s="508">
        <f t="shared" si="2"/>
        <v>-2.8221848468274872E-3</v>
      </c>
    </row>
    <row r="38" spans="3:16">
      <c r="C38" s="81" t="s">
        <v>54</v>
      </c>
      <c r="D38" s="81"/>
      <c r="E38" s="255">
        <f>287016.97+42872</f>
        <v>329888.96999999997</v>
      </c>
      <c r="F38" s="256">
        <v>368598.31</v>
      </c>
      <c r="G38" s="432">
        <v>374867.92</v>
      </c>
      <c r="H38" s="442">
        <f>INDEX('Operating Statement'!W:W,MATCH('NEW OSAR'!$C38,'Operating Statement'!V:V,0))</f>
        <v>411158.29</v>
      </c>
      <c r="I38" s="357">
        <f>H38</f>
        <v>411158.29</v>
      </c>
      <c r="J38" s="88">
        <f t="shared" si="3"/>
        <v>0.24635355343951032</v>
      </c>
      <c r="K38" s="88">
        <f t="shared" si="5"/>
        <v>9.6808417215322129E-2</v>
      </c>
      <c r="L38" s="146" t="s">
        <v>2255</v>
      </c>
      <c r="N38" s="517">
        <f t="shared" si="1"/>
        <v>36290.369999999995</v>
      </c>
      <c r="O38" s="518">
        <f t="shared" si="2"/>
        <v>9.6808417215322129E-2</v>
      </c>
    </row>
    <row r="39" spans="3:16">
      <c r="C39" s="81" t="s">
        <v>55</v>
      </c>
      <c r="D39" s="81"/>
      <c r="E39" s="255">
        <v>232268.57</v>
      </c>
      <c r="F39" s="256">
        <v>381931.97</v>
      </c>
      <c r="G39" s="432">
        <v>367637.38</v>
      </c>
      <c r="H39" s="442">
        <f>INDEX('Operating Statement'!W:W,MATCH('NEW OSAR'!$C39,'Operating Statement'!V:V,0))</f>
        <v>354217.02</v>
      </c>
      <c r="I39" s="357">
        <f>H39</f>
        <v>354217.02</v>
      </c>
      <c r="J39" s="88">
        <f t="shared" si="3"/>
        <v>0.52503207816709774</v>
      </c>
      <c r="K39" s="88">
        <f t="shared" si="5"/>
        <v>-3.6504340227862538E-2</v>
      </c>
      <c r="L39" s="146" t="s">
        <v>2255</v>
      </c>
      <c r="N39" s="513">
        <f t="shared" si="1"/>
        <v>-13420.359999999986</v>
      </c>
      <c r="O39" s="508">
        <f t="shared" si="2"/>
        <v>-3.6504340227862538E-2</v>
      </c>
    </row>
    <row r="40" spans="3:16">
      <c r="C40" s="72" t="s">
        <v>57</v>
      </c>
      <c r="D40" s="72"/>
      <c r="E40" s="255">
        <v>314494.13288564753</v>
      </c>
      <c r="F40" s="256">
        <v>260394.85140000001</v>
      </c>
      <c r="G40" s="432">
        <v>256076.16120000003</v>
      </c>
      <c r="H40" s="442">
        <f>INDEX('Operating Statement'!W:W,MATCH('NEW OSAR'!$C40,'Operating Statement'!V:V,0))</f>
        <v>210758.11</v>
      </c>
      <c r="I40" s="432">
        <f>MAX(H40,(I32*M40))</f>
        <v>256721.3952</v>
      </c>
      <c r="J40" s="88">
        <f t="shared" si="3"/>
        <v>-0.32985042338887371</v>
      </c>
      <c r="K40" s="88">
        <f t="shared" si="5"/>
        <v>-0.17697098780157769</v>
      </c>
      <c r="L40" s="146" t="s">
        <v>278</v>
      </c>
      <c r="M40" s="500">
        <v>0.03</v>
      </c>
      <c r="N40" s="514">
        <f t="shared" si="1"/>
        <v>645.23399999996764</v>
      </c>
      <c r="O40" s="511">
        <f t="shared" si="2"/>
        <v>2.5196956912206616E-3</v>
      </c>
      <c r="P40" s="500"/>
    </row>
    <row r="41" spans="3:16">
      <c r="C41" s="72" t="s">
        <v>58</v>
      </c>
      <c r="D41" s="72"/>
      <c r="E41" s="255">
        <v>574480.84</v>
      </c>
      <c r="F41" s="256">
        <v>571910.18000000005</v>
      </c>
      <c r="G41" s="432">
        <v>583888.92000000004</v>
      </c>
      <c r="H41" s="442">
        <f>INDEX('Operating Statement'!W:W,MATCH('NEW OSAR'!$C41,'Operating Statement'!V:V,0))</f>
        <v>589879.68000000005</v>
      </c>
      <c r="I41" s="357">
        <f t="shared" ref="I41:I46" si="6">H41</f>
        <v>589879.68000000005</v>
      </c>
      <c r="J41" s="88">
        <f t="shared" si="3"/>
        <v>2.6804793002322035E-2</v>
      </c>
      <c r="K41" s="88">
        <f t="shared" si="5"/>
        <v>1.0260102212592095E-2</v>
      </c>
      <c r="L41" s="146" t="s">
        <v>2255</v>
      </c>
      <c r="N41" s="513">
        <f t="shared" si="1"/>
        <v>5990.7600000000093</v>
      </c>
      <c r="O41" s="508">
        <f t="shared" si="2"/>
        <v>1.0260102212592095E-2</v>
      </c>
    </row>
    <row r="42" spans="3:16">
      <c r="C42" s="81" t="s">
        <v>59</v>
      </c>
      <c r="D42" s="81"/>
      <c r="E42" s="255">
        <v>91494.430000000008</v>
      </c>
      <c r="F42" s="256">
        <v>123097.15</v>
      </c>
      <c r="G42" s="432">
        <v>129586.72</v>
      </c>
      <c r="H42" s="442">
        <f>INDEX('Operating Statement'!W:W,MATCH('NEW OSAR'!$C42,'Operating Statement'!V:V,0))</f>
        <v>107708.43</v>
      </c>
      <c r="I42" s="357">
        <f t="shared" si="6"/>
        <v>107708.43</v>
      </c>
      <c r="J42" s="88">
        <f t="shared" si="3"/>
        <v>0.17721297351106494</v>
      </c>
      <c r="K42" s="88">
        <f t="shared" si="5"/>
        <v>-0.16883126604331067</v>
      </c>
      <c r="L42" s="146" t="s">
        <v>2255</v>
      </c>
      <c r="N42" s="517">
        <f t="shared" si="1"/>
        <v>-21878.290000000008</v>
      </c>
      <c r="O42" s="518">
        <f t="shared" si="2"/>
        <v>-0.16883126604331067</v>
      </c>
    </row>
    <row r="43" spans="3:16">
      <c r="C43" s="72" t="s">
        <v>60</v>
      </c>
      <c r="D43" s="72"/>
      <c r="E43" s="255">
        <f>113265.91+20740</f>
        <v>134005.91</v>
      </c>
      <c r="F43" s="256">
        <v>2280</v>
      </c>
      <c r="G43" s="432">
        <v>3314</v>
      </c>
      <c r="H43" s="442">
        <f>INDEX('Operating Statement'!W:W,MATCH('NEW OSAR'!$C43,'Operating Statement'!V:V,0))</f>
        <v>2732</v>
      </c>
      <c r="I43" s="357">
        <f t="shared" si="6"/>
        <v>2732</v>
      </c>
      <c r="J43" s="88">
        <f t="shared" si="3"/>
        <v>-0.97961283946357292</v>
      </c>
      <c r="K43" s="88">
        <f t="shared" si="5"/>
        <v>-0.1756185878092939</v>
      </c>
      <c r="L43" s="146" t="s">
        <v>2255</v>
      </c>
      <c r="N43" s="513">
        <f t="shared" si="1"/>
        <v>-582</v>
      </c>
      <c r="O43" s="508">
        <f t="shared" si="2"/>
        <v>-0.1756185878092939</v>
      </c>
    </row>
    <row r="44" spans="3:16">
      <c r="C44" s="72" t="s">
        <v>61</v>
      </c>
      <c r="D44" s="72"/>
      <c r="E44" s="255">
        <v>207771.55000000002</v>
      </c>
      <c r="F44" s="256">
        <v>217651.72</v>
      </c>
      <c r="G44" s="432">
        <v>224269.13</v>
      </c>
      <c r="H44" s="442">
        <f>INDEX('Operating Statement'!W:W,MATCH('NEW OSAR'!$C44,'Operating Statement'!V:V,0))</f>
        <v>238036.40000000005</v>
      </c>
      <c r="I44" s="357">
        <f t="shared" si="6"/>
        <v>238036.40000000005</v>
      </c>
      <c r="J44" s="88">
        <f t="shared" si="3"/>
        <v>0.14566407190974912</v>
      </c>
      <c r="K44" s="88">
        <f t="shared" si="5"/>
        <v>6.138727162316119E-2</v>
      </c>
      <c r="L44" s="146" t="s">
        <v>2255</v>
      </c>
      <c r="N44" s="513">
        <f t="shared" si="1"/>
        <v>13767.270000000048</v>
      </c>
      <c r="O44" s="508">
        <f t="shared" si="2"/>
        <v>6.138727162316119E-2</v>
      </c>
    </row>
    <row r="45" spans="3:16">
      <c r="C45" s="72" t="s">
        <v>62</v>
      </c>
      <c r="D45" s="72"/>
      <c r="E45" s="255">
        <v>0</v>
      </c>
      <c r="F45" s="255">
        <v>0</v>
      </c>
      <c r="G45" s="472">
        <v>0</v>
      </c>
      <c r="H45" s="498">
        <f>INDEX('Operating Statement'!W:W,MATCH('NEW OSAR'!$C45,'Operating Statement'!V:V,0))</f>
        <v>0</v>
      </c>
      <c r="I45" s="260">
        <f t="shared" si="6"/>
        <v>0</v>
      </c>
      <c r="J45" s="88" t="str">
        <f t="shared" si="3"/>
        <v xml:space="preserve"> </v>
      </c>
      <c r="K45" s="88" t="str">
        <f t="shared" si="5"/>
        <v xml:space="preserve"> </v>
      </c>
      <c r="L45" s="146" t="s">
        <v>2255</v>
      </c>
      <c r="N45" s="513"/>
      <c r="O45" s="508"/>
    </row>
    <row r="46" spans="3:16">
      <c r="C46" s="72" t="s">
        <v>63</v>
      </c>
      <c r="D46" s="72"/>
      <c r="E46" s="255">
        <v>0</v>
      </c>
      <c r="F46" s="255">
        <v>0</v>
      </c>
      <c r="G46" s="472">
        <v>0</v>
      </c>
      <c r="H46" s="498">
        <f>INDEX('Operating Statement'!W:W,MATCH('NEW OSAR'!$C46,'Operating Statement'!V:V,0))</f>
        <v>0</v>
      </c>
      <c r="I46" s="260">
        <f t="shared" si="6"/>
        <v>0</v>
      </c>
      <c r="J46" s="88" t="str">
        <f t="shared" si="3"/>
        <v xml:space="preserve"> </v>
      </c>
      <c r="K46" s="88" t="str">
        <f t="shared" si="5"/>
        <v xml:space="preserve"> </v>
      </c>
      <c r="L46" s="380"/>
      <c r="N46" s="513"/>
      <c r="O46" s="508"/>
    </row>
    <row r="47" spans="3:16">
      <c r="C47" s="99" t="s">
        <v>64</v>
      </c>
      <c r="D47" s="99"/>
      <c r="E47" s="447">
        <f>SUM(E36:E46)</f>
        <v>2411567.7793856468</v>
      </c>
      <c r="F47" s="448">
        <v>2440334.8014000002</v>
      </c>
      <c r="G47" s="469">
        <v>2456117.8912</v>
      </c>
      <c r="H47" s="455">
        <f>INDEX('Operating Statement'!W:W,MATCH('NEW OSAR'!$C47,'Operating Statement'!V:V,0))</f>
        <v>2434555.5500000003</v>
      </c>
      <c r="I47" s="430">
        <f>SUM(I36:I46)</f>
        <v>2480518.8352000001</v>
      </c>
      <c r="J47" s="88">
        <f t="shared" si="3"/>
        <v>9.5322929800503754E-3</v>
      </c>
      <c r="K47" s="88">
        <f t="shared" si="5"/>
        <v>-8.7790334809477871E-3</v>
      </c>
      <c r="L47" s="380"/>
      <c r="N47" s="517">
        <f t="shared" si="1"/>
        <v>24400.944000000134</v>
      </c>
      <c r="O47" s="518">
        <f t="shared" si="2"/>
        <v>9.9347609035486568E-3</v>
      </c>
    </row>
    <row r="48" spans="3:16">
      <c r="C48" s="81"/>
      <c r="D48" s="81"/>
      <c r="E48" s="114"/>
      <c r="F48" s="96"/>
      <c r="G48" s="473"/>
      <c r="H48" s="494"/>
      <c r="I48" s="425"/>
      <c r="J48" s="96"/>
      <c r="K48" s="382"/>
      <c r="L48" s="381"/>
      <c r="N48" s="513"/>
      <c r="O48" s="508"/>
    </row>
    <row r="49" spans="3:15">
      <c r="C49" s="69" t="s">
        <v>65</v>
      </c>
      <c r="D49" s="69"/>
      <c r="E49" s="344">
        <f>E47/E32</f>
        <v>0.26870014734596753</v>
      </c>
      <c r="F49" s="206">
        <v>0.28115012124237415</v>
      </c>
      <c r="G49" s="474">
        <v>0.28774071116464389</v>
      </c>
      <c r="H49" s="499">
        <f>H47/H32</f>
        <v>0.28822493560421086</v>
      </c>
      <c r="I49" s="431">
        <f>I47/I32</f>
        <v>0.28986896475078056</v>
      </c>
      <c r="J49" s="88">
        <f>IF(E49=0, " ",(H49-E49)/E49)</f>
        <v>7.2663853931959316E-2</v>
      </c>
      <c r="K49" s="88">
        <f>IF(G49=0, " ",(H49-G49)/G49)</f>
        <v>1.6828499436421442E-3</v>
      </c>
      <c r="L49" s="380"/>
      <c r="N49" s="513">
        <f t="shared" si="1"/>
        <v>2.1282535861366636E-3</v>
      </c>
      <c r="O49" s="508">
        <f t="shared" si="2"/>
        <v>7.3964284633983779E-3</v>
      </c>
    </row>
    <row r="50" spans="3:15">
      <c r="C50" s="81"/>
      <c r="D50" s="81"/>
      <c r="E50" s="114"/>
      <c r="F50" s="118"/>
      <c r="G50" s="475"/>
      <c r="H50" s="494"/>
      <c r="I50" s="118"/>
      <c r="J50" s="119"/>
      <c r="K50" s="382"/>
      <c r="L50" s="380"/>
      <c r="N50" s="513"/>
      <c r="O50" s="508"/>
    </row>
    <row r="51" spans="3:15" ht="13.5" thickBot="1">
      <c r="C51" s="99" t="s">
        <v>66</v>
      </c>
      <c r="D51" s="99"/>
      <c r="E51" s="452">
        <f>E32-E47</f>
        <v>6563372.5144899972</v>
      </c>
      <c r="F51" s="448">
        <v>6239493.5786000006</v>
      </c>
      <c r="G51" s="469">
        <v>6079754.1488000005</v>
      </c>
      <c r="H51" s="455">
        <f>INDEX('Operating Statement'!W:W,MATCH('NEW OSAR'!$C51,'Operating Statement'!V:V,0))</f>
        <v>6012165.2199999988</v>
      </c>
      <c r="I51" s="449">
        <f>I32-I47</f>
        <v>6076861.0047999993</v>
      </c>
      <c r="J51" s="88">
        <f>IF(E51=0, " ",(H51-E51)/E51)</f>
        <v>-8.3982326657993989E-2</v>
      </c>
      <c r="K51" s="88">
        <f>IF(G51=0, " ",(H51-G51)/G51)</f>
        <v>-1.1117049661184441E-2</v>
      </c>
      <c r="L51" s="88">
        <f>IF(G51=0, " ",(I51-G51)/G51)</f>
        <v>-4.7586529474588868E-4</v>
      </c>
      <c r="M51" s="366" t="s">
        <v>318</v>
      </c>
      <c r="N51" s="515">
        <f t="shared" si="1"/>
        <v>-2893.1440000012517</v>
      </c>
      <c r="O51" s="512">
        <f t="shared" si="2"/>
        <v>-4.7586529474588868E-4</v>
      </c>
    </row>
    <row r="52" spans="3:15">
      <c r="C52" s="99"/>
      <c r="D52" s="99"/>
      <c r="E52" s="121"/>
      <c r="F52" s="96"/>
      <c r="G52" s="476"/>
      <c r="H52" s="97"/>
      <c r="I52" s="425"/>
      <c r="J52" s="96"/>
      <c r="K52" s="121"/>
      <c r="L52" s="381"/>
    </row>
    <row r="53" spans="3:15">
      <c r="C53" s="122" t="s">
        <v>69</v>
      </c>
      <c r="D53" s="122"/>
      <c r="E53" s="461">
        <v>123750</v>
      </c>
      <c r="F53" s="461">
        <v>123750</v>
      </c>
      <c r="G53" s="477">
        <v>123750</v>
      </c>
      <c r="H53" s="504">
        <f>I53</f>
        <v>123750</v>
      </c>
      <c r="I53" s="462">
        <f>E12*E14</f>
        <v>123750</v>
      </c>
      <c r="J53" s="88">
        <f>IF(E53=0, " ",(H53-E53)/E53)</f>
        <v>0</v>
      </c>
      <c r="K53" s="88">
        <f>IF(G53=0, " ",(H53-G53)/G53)</f>
        <v>0</v>
      </c>
      <c r="L53" s="146" t="s">
        <v>544</v>
      </c>
    </row>
    <row r="54" spans="3:15">
      <c r="C54" s="122" t="s">
        <v>70</v>
      </c>
      <c r="D54" s="122"/>
      <c r="E54" s="123"/>
      <c r="F54" s="93"/>
      <c r="G54" s="478"/>
      <c r="H54" s="94"/>
      <c r="I54" s="427"/>
      <c r="J54" s="95"/>
      <c r="K54" s="123"/>
      <c r="L54" s="123"/>
    </row>
    <row r="55" spans="3:15">
      <c r="C55" s="124" t="s">
        <v>71</v>
      </c>
      <c r="D55" s="124"/>
      <c r="E55" s="463">
        <v>123750</v>
      </c>
      <c r="F55" s="463">
        <v>123750</v>
      </c>
      <c r="G55" s="479">
        <v>123750</v>
      </c>
      <c r="H55" s="464">
        <f>SUM(H53:H54)</f>
        <v>123750</v>
      </c>
      <c r="I55" s="449">
        <f>SUM(I53:I54)</f>
        <v>123750</v>
      </c>
      <c r="J55" s="88">
        <f>IF(E55=0, " ",(H55-E55)/E55)</f>
        <v>0</v>
      </c>
      <c r="K55" s="88">
        <f>IF(G55=0, " ",(H55-G55)/G55)</f>
        <v>0</v>
      </c>
      <c r="L55" s="88">
        <f>IF(G55=0, " ",(I55-G55)/G55)</f>
        <v>0</v>
      </c>
    </row>
    <row r="56" spans="3:15">
      <c r="C56" s="99"/>
      <c r="D56" s="99"/>
      <c r="E56" s="383"/>
      <c r="F56" s="249"/>
      <c r="G56" s="480"/>
      <c r="H56" s="249"/>
      <c r="I56" s="428"/>
      <c r="J56" s="249"/>
      <c r="K56" s="384"/>
      <c r="L56" s="381"/>
    </row>
    <row r="57" spans="3:15">
      <c r="C57" s="124" t="s">
        <v>72</v>
      </c>
      <c r="D57" s="124"/>
      <c r="E57" s="447">
        <f>E51-E55</f>
        <v>6439622.5144899972</v>
      </c>
      <c r="F57" s="453">
        <v>6115743.5786000006</v>
      </c>
      <c r="G57" s="481">
        <v>5956004.1488000005</v>
      </c>
      <c r="H57" s="454">
        <f>H51-H55</f>
        <v>5888415.2199999988</v>
      </c>
      <c r="I57" s="449">
        <f>I51-I55</f>
        <v>5953111.0047999993</v>
      </c>
      <c r="J57" s="88">
        <f>IF(E57=0, " ",(H57-E57)/E57)</f>
        <v>-8.559621208381539E-2</v>
      </c>
      <c r="K57" s="88">
        <f>IF(G57=0, " ",(H57-G57)/G57)</f>
        <v>-1.134803252506454E-2</v>
      </c>
      <c r="L57" s="88">
        <f>IF(G57=0, " ",(I57-G57)/G57)</f>
        <v>-4.8575251590181556E-4</v>
      </c>
    </row>
    <row r="58" spans="3:15">
      <c r="C58" s="66"/>
      <c r="D58" s="66"/>
      <c r="E58" s="66"/>
      <c r="F58" s="66"/>
      <c r="G58" s="66"/>
      <c r="H58" s="66"/>
      <c r="I58" s="425"/>
      <c r="J58" s="66"/>
      <c r="K58" s="66"/>
      <c r="L58" s="66"/>
    </row>
    <row r="59" spans="3:15">
      <c r="C59" s="69" t="s">
        <v>73</v>
      </c>
      <c r="D59" s="69"/>
      <c r="E59" s="100"/>
      <c r="F59" s="100">
        <v>6189783.24125</v>
      </c>
      <c r="G59" s="454">
        <v>5728520.842073245</v>
      </c>
      <c r="H59" s="502">
        <f>'Debt Service'!C11</f>
        <v>5629018.8325603744</v>
      </c>
      <c r="I59" s="503">
        <f>'Debt Service'!C11</f>
        <v>5629018.8325603744</v>
      </c>
      <c r="J59" s="100"/>
      <c r="K59" s="100"/>
      <c r="L59" s="100"/>
    </row>
    <row r="60" spans="3:15">
      <c r="C60" s="69" t="s">
        <v>74</v>
      </c>
      <c r="D60" s="69"/>
      <c r="E60" s="100"/>
      <c r="F60" s="100"/>
      <c r="G60" s="100"/>
      <c r="H60" s="100"/>
      <c r="I60" s="426"/>
      <c r="J60" s="100"/>
      <c r="K60" s="100"/>
      <c r="L60" s="100"/>
    </row>
    <row r="61" spans="3:15">
      <c r="C61" s="69" t="s">
        <v>75</v>
      </c>
      <c r="D61" s="69"/>
      <c r="E61" s="100"/>
      <c r="F61" s="100"/>
      <c r="G61" s="100"/>
      <c r="H61" s="100"/>
      <c r="I61" s="426"/>
      <c r="J61" s="100"/>
      <c r="K61" s="100"/>
      <c r="L61" s="100"/>
    </row>
    <row r="62" spans="3:15">
      <c r="C62" s="69"/>
      <c r="D62" s="69"/>
      <c r="E62" s="130"/>
      <c r="F62" s="130"/>
      <c r="G62" s="130"/>
      <c r="H62" s="130"/>
      <c r="I62" s="114"/>
      <c r="J62" s="130"/>
      <c r="K62" s="130"/>
      <c r="L62" s="130"/>
    </row>
    <row r="63" spans="3:15">
      <c r="C63" s="69" t="s">
        <v>76</v>
      </c>
      <c r="D63" s="69"/>
      <c r="E63" s="100"/>
      <c r="F63" s="100">
        <v>-74039.662649999373</v>
      </c>
      <c r="G63" s="454">
        <v>227483.30672675557</v>
      </c>
      <c r="H63" s="454">
        <f>H57-H59</f>
        <v>259396.38743962441</v>
      </c>
      <c r="I63" s="449">
        <f>I57-I59</f>
        <v>324092.1722396249</v>
      </c>
      <c r="J63" s="88" t="str">
        <f>IF(E63=0, " ",(H63-E63)/E63)</f>
        <v xml:space="preserve"> </v>
      </c>
      <c r="K63" s="88">
        <f>IF(G63=0, " ",(H63-G63)/G63)</f>
        <v>0.14028757174345821</v>
      </c>
      <c r="L63" s="88">
        <f>IF(G63=0, " ",(I63-G63)/G63)</f>
        <v>0.42468551606255783</v>
      </c>
    </row>
    <row r="64" spans="3:15">
      <c r="C64" s="69"/>
      <c r="D64" s="69"/>
      <c r="E64" s="249"/>
      <c r="F64" s="249"/>
      <c r="G64" s="249"/>
      <c r="H64" s="249"/>
      <c r="I64" s="428"/>
      <c r="J64" s="249"/>
      <c r="K64" s="249"/>
      <c r="L64" s="249"/>
    </row>
    <row r="65" spans="3:12">
      <c r="C65" s="99" t="s">
        <v>77</v>
      </c>
      <c r="D65" s="99"/>
      <c r="E65" s="131"/>
      <c r="F65" s="131">
        <v>0.98803840784656505</v>
      </c>
      <c r="G65" s="420">
        <v>1.0613130887378666</v>
      </c>
      <c r="H65" s="443">
        <f t="shared" ref="H65" si="7">H51/H59</f>
        <v>1.0680662827460019</v>
      </c>
      <c r="I65" s="443">
        <f>I51/I59</f>
        <v>1.079559544133897</v>
      </c>
      <c r="J65" s="88"/>
      <c r="K65" s="88">
        <f>IF(G65=0, " ",(H65-G65)/G65)</f>
        <v>6.3630554261479696E-3</v>
      </c>
      <c r="L65" s="146" t="s">
        <v>1765</v>
      </c>
    </row>
    <row r="66" spans="3:12">
      <c r="C66" s="99" t="s">
        <v>78</v>
      </c>
      <c r="D66" s="99"/>
      <c r="E66" s="131"/>
      <c r="F66" s="131"/>
      <c r="G66" s="421"/>
      <c r="H66" s="421"/>
      <c r="I66" s="443"/>
      <c r="J66" s="88"/>
      <c r="K66" s="88"/>
      <c r="L66" s="505"/>
    </row>
    <row r="67" spans="3:12">
      <c r="C67" s="99" t="s">
        <v>79</v>
      </c>
      <c r="D67" s="99"/>
      <c r="E67" s="131"/>
      <c r="F67" s="131"/>
      <c r="G67" s="421"/>
      <c r="H67" s="421"/>
      <c r="I67" s="443"/>
      <c r="J67" s="88"/>
      <c r="K67" s="88"/>
      <c r="L67" s="505"/>
    </row>
    <row r="68" spans="3:12">
      <c r="C68" s="66"/>
      <c r="D68" s="66"/>
      <c r="E68" s="132"/>
      <c r="F68" s="132"/>
      <c r="G68" s="422"/>
      <c r="H68" s="422"/>
      <c r="I68" s="444"/>
      <c r="J68" s="66"/>
      <c r="K68" s="66"/>
      <c r="L68" s="506"/>
    </row>
    <row r="69" spans="3:12">
      <c r="C69" s="99" t="s">
        <v>80</v>
      </c>
      <c r="D69" s="99"/>
      <c r="E69" s="131"/>
      <c r="F69" s="131">
        <v>0.98803840784656505</v>
      </c>
      <c r="G69" s="420">
        <v>1.0397106535872227</v>
      </c>
      <c r="H69" s="443">
        <f>H57/H59</f>
        <v>1.0460819896247597</v>
      </c>
      <c r="I69" s="443">
        <f>I57/I59</f>
        <v>1.0575752510126548</v>
      </c>
      <c r="J69" s="88"/>
      <c r="K69" s="88">
        <f>IF(G69=0, " ",(H69-G69)/G69)</f>
        <v>6.1279895666689291E-3</v>
      </c>
      <c r="L69" s="146" t="s">
        <v>1765</v>
      </c>
    </row>
    <row r="70" spans="3:12">
      <c r="C70" s="99" t="s">
        <v>81</v>
      </c>
      <c r="D70" s="99"/>
      <c r="E70" s="131"/>
      <c r="F70" s="131"/>
      <c r="G70" s="421"/>
      <c r="H70" s="421"/>
      <c r="I70" s="421"/>
      <c r="J70" s="88"/>
      <c r="K70" s="88"/>
      <c r="L70" s="88"/>
    </row>
    <row r="71" spans="3:12">
      <c r="C71" s="99" t="s">
        <v>82</v>
      </c>
      <c r="D71" s="99"/>
      <c r="E71" s="131"/>
      <c r="F71" s="131"/>
      <c r="G71" s="421"/>
      <c r="H71" s="421"/>
      <c r="I71" s="421"/>
      <c r="J71" s="88"/>
      <c r="K71" s="88"/>
      <c r="L71" s="88"/>
    </row>
    <row r="72" spans="3:12">
      <c r="C72" s="99"/>
      <c r="D72" s="99"/>
      <c r="E72" s="250"/>
      <c r="F72" s="250"/>
      <c r="G72" s="433"/>
      <c r="H72" s="433"/>
      <c r="I72" s="433"/>
      <c r="J72" s="379"/>
      <c r="K72" s="379"/>
      <c r="L72" s="98"/>
    </row>
    <row r="73" spans="3:12">
      <c r="C73" s="99" t="s">
        <v>2067</v>
      </c>
      <c r="D73" s="99"/>
      <c r="E73" s="434"/>
      <c r="F73" s="434">
        <v>6.6692950693565983E-2</v>
      </c>
      <c r="G73" s="434">
        <v>6.4688929719148261E-2</v>
      </c>
      <c r="H73" s="434">
        <f>H57/E6</f>
        <v>6.3954837640683743E-2</v>
      </c>
      <c r="I73" s="434">
        <f t="shared" ref="I73" si="8">I57/$E$6</f>
        <v>6.4657506908786189E-2</v>
      </c>
      <c r="J73" s="88"/>
      <c r="K73" s="88"/>
      <c r="L73" s="505" t="s">
        <v>2259</v>
      </c>
    </row>
    <row r="74" spans="3:12">
      <c r="C74" s="99"/>
      <c r="D74" s="99"/>
      <c r="E74" s="249"/>
      <c r="F74" s="249"/>
      <c r="G74" s="249"/>
      <c r="H74" s="249"/>
      <c r="I74" s="428"/>
      <c r="J74" s="385"/>
      <c r="K74" s="385"/>
    </row>
    <row r="75" spans="3:12">
      <c r="C75" s="119" t="s">
        <v>83</v>
      </c>
      <c r="D75" s="119"/>
      <c r="E75" s="73"/>
      <c r="F75" s="73"/>
      <c r="G75" s="73"/>
      <c r="H75" s="73"/>
      <c r="I75" s="424"/>
      <c r="J75" s="66"/>
      <c r="K75" s="66"/>
    </row>
    <row r="76" spans="3:12" ht="13.5" thickBot="1">
      <c r="C76" s="136"/>
      <c r="D76" s="136"/>
      <c r="E76" s="137" t="s">
        <v>84</v>
      </c>
      <c r="F76" s="138"/>
      <c r="G76" s="138"/>
      <c r="H76" s="138"/>
      <c r="I76" s="429"/>
      <c r="J76" s="138"/>
      <c r="K76" s="138"/>
    </row>
    <row r="77" spans="3:12">
      <c r="C77" s="124" t="s">
        <v>2052</v>
      </c>
      <c r="D77" s="124"/>
      <c r="E77" s="66"/>
      <c r="F77" s="66"/>
      <c r="G77" s="66"/>
      <c r="H77" s="66"/>
      <c r="I77" s="66"/>
      <c r="J77" s="66"/>
      <c r="K77" s="66"/>
    </row>
    <row r="78" spans="3:12">
      <c r="C78" s="48" t="s">
        <v>2053</v>
      </c>
      <c r="D78" s="48"/>
      <c r="E78" s="66"/>
      <c r="F78" s="66"/>
      <c r="G78" s="66"/>
      <c r="H78" s="66"/>
      <c r="I78" s="66"/>
      <c r="J78" s="66"/>
      <c r="K78" s="66"/>
    </row>
    <row r="79" spans="3:12">
      <c r="C79" s="386" t="s">
        <v>2054</v>
      </c>
      <c r="D79" s="48"/>
      <c r="E79" s="66"/>
      <c r="F79" s="66"/>
      <c r="G79" s="66"/>
      <c r="H79" s="66"/>
      <c r="I79" s="66"/>
      <c r="J79" s="66"/>
      <c r="K79" s="66"/>
    </row>
    <row r="80" spans="3:12">
      <c r="C80" s="387" t="s">
        <v>2055</v>
      </c>
      <c r="D80" s="387"/>
      <c r="E80" s="388"/>
      <c r="F80" s="388"/>
      <c r="G80" s="388"/>
      <c r="H80" s="388"/>
      <c r="I80" s="388"/>
      <c r="J80" s="388"/>
      <c r="K80" s="388"/>
    </row>
    <row r="81" spans="3:11">
      <c r="C81" s="389"/>
      <c r="D81" s="389"/>
      <c r="E81" s="390"/>
      <c r="F81" s="390"/>
      <c r="G81" s="390"/>
      <c r="H81" s="390"/>
      <c r="I81" s="390"/>
      <c r="J81" s="390"/>
      <c r="K81" s="390"/>
    </row>
    <row r="82" spans="3:11">
      <c r="C82" s="389"/>
      <c r="D82" s="389"/>
      <c r="E82" s="390"/>
      <c r="F82" s="390"/>
      <c r="G82" s="390"/>
      <c r="H82" s="390"/>
      <c r="I82" s="390"/>
      <c r="J82" s="390"/>
      <c r="K82" s="390"/>
    </row>
    <row r="83" spans="3:11">
      <c r="C83" s="391" t="s">
        <v>2056</v>
      </c>
      <c r="D83" s="391"/>
      <c r="E83" s="388"/>
      <c r="F83" s="388"/>
      <c r="G83" s="388"/>
      <c r="H83" s="388"/>
      <c r="I83" s="388"/>
      <c r="J83" s="388"/>
      <c r="K83" s="388"/>
    </row>
    <row r="84" spans="3:11">
      <c r="C84" s="389"/>
      <c r="D84" s="389"/>
      <c r="E84" s="390"/>
      <c r="F84" s="390"/>
      <c r="G84" s="390"/>
      <c r="H84" s="390"/>
      <c r="I84" s="390"/>
      <c r="J84" s="390"/>
      <c r="K84" s="390"/>
    </row>
    <row r="85" spans="3:11">
      <c r="C85" s="389"/>
      <c r="D85" s="389"/>
      <c r="E85" s="390"/>
      <c r="F85" s="390"/>
      <c r="G85" s="390"/>
      <c r="H85" s="390"/>
      <c r="I85" s="390"/>
      <c r="J85" s="390"/>
      <c r="K85" s="390"/>
    </row>
    <row r="86" spans="3:11">
      <c r="C86" s="391" t="s">
        <v>2057</v>
      </c>
      <c r="D86" s="391"/>
      <c r="E86" s="388"/>
      <c r="F86" s="388"/>
      <c r="G86" s="388"/>
      <c r="H86" s="388"/>
      <c r="I86" s="388"/>
      <c r="J86" s="388"/>
      <c r="K86" s="388"/>
    </row>
    <row r="87" spans="3:11">
      <c r="C87" s="392"/>
      <c r="D87" s="392"/>
      <c r="E87" s="390"/>
      <c r="F87" s="390"/>
      <c r="G87" s="390"/>
      <c r="H87" s="390"/>
      <c r="I87" s="390"/>
      <c r="J87" s="390"/>
      <c r="K87" s="390"/>
    </row>
    <row r="88" spans="3:11">
      <c r="C88" s="393"/>
      <c r="D88" s="393"/>
      <c r="E88" s="390"/>
      <c r="F88" s="390"/>
      <c r="G88" s="390"/>
      <c r="H88" s="390"/>
      <c r="I88" s="390"/>
      <c r="J88" s="390"/>
      <c r="K88" s="390"/>
    </row>
    <row r="89" spans="3:11">
      <c r="C89" s="387" t="s">
        <v>2058</v>
      </c>
      <c r="D89" s="388"/>
      <c r="E89" s="388"/>
      <c r="F89" s="388"/>
      <c r="G89" s="388"/>
      <c r="H89" s="388"/>
      <c r="I89" s="388"/>
      <c r="J89" s="388"/>
      <c r="K89" s="388"/>
    </row>
    <row r="90" spans="3:11">
      <c r="C90" s="388"/>
      <c r="D90" s="388"/>
      <c r="E90" s="388"/>
      <c r="F90" s="388"/>
      <c r="G90" s="388"/>
      <c r="H90" s="388"/>
      <c r="I90" s="388"/>
      <c r="J90" s="388"/>
      <c r="K90" s="388"/>
    </row>
    <row r="91" spans="3:11">
      <c r="C91" s="388" t="s">
        <v>105</v>
      </c>
      <c r="D91" s="388"/>
      <c r="E91" s="388"/>
      <c r="F91" s="388"/>
      <c r="G91" s="388"/>
      <c r="H91" s="388"/>
      <c r="I91" s="388"/>
      <c r="J91" s="388"/>
      <c r="K91" s="66"/>
    </row>
    <row r="92" spans="3:11">
      <c r="C92" s="139" t="s">
        <v>86</v>
      </c>
      <c r="D92" s="139"/>
      <c r="E92" s="66"/>
      <c r="F92" s="66"/>
      <c r="G92" s="66"/>
      <c r="H92" s="66"/>
      <c r="I92" s="66"/>
      <c r="J92" s="69"/>
      <c r="K92" s="66"/>
    </row>
    <row r="93" spans="3:11">
      <c r="C93" s="24" t="s">
        <v>87</v>
      </c>
      <c r="D93" s="24"/>
      <c r="E93" s="66"/>
      <c r="F93" s="66"/>
      <c r="G93" s="66"/>
      <c r="H93" s="66"/>
      <c r="I93" s="66"/>
      <c r="J93" s="119"/>
      <c r="K93" s="66"/>
    </row>
    <row r="94" spans="3:11">
      <c r="C94" s="66"/>
      <c r="D94" s="66"/>
      <c r="E94" s="66"/>
      <c r="F94" s="66"/>
      <c r="G94" s="66"/>
      <c r="H94" s="66"/>
      <c r="I94" s="66"/>
      <c r="J94" s="119"/>
      <c r="K94" s="66"/>
    </row>
    <row r="95" spans="3:11">
      <c r="C95" s="66"/>
      <c r="D95" s="66"/>
      <c r="E95" s="66"/>
      <c r="F95" s="66"/>
      <c r="G95" s="66"/>
      <c r="H95" s="66"/>
      <c r="I95" s="66"/>
      <c r="J95" s="66"/>
      <c r="K95" s="66"/>
    </row>
    <row r="96" spans="3:11">
      <c r="C96" s="66"/>
      <c r="D96" s="66"/>
      <c r="E96" s="66"/>
      <c r="F96" s="66"/>
      <c r="G96" s="66"/>
      <c r="H96" s="66"/>
      <c r="I96" s="66"/>
      <c r="J96" s="66"/>
      <c r="K96" s="66"/>
    </row>
    <row r="97" spans="3:11">
      <c r="C97" s="66"/>
      <c r="D97" s="66"/>
      <c r="E97" s="66"/>
      <c r="F97" s="66"/>
      <c r="G97" s="66"/>
      <c r="H97" s="66"/>
      <c r="I97" s="66"/>
      <c r="J97" s="66"/>
      <c r="K97" s="66"/>
    </row>
    <row r="98" spans="3:11">
      <c r="C98" s="66"/>
      <c r="D98" s="66"/>
      <c r="E98" s="66"/>
      <c r="F98" s="66"/>
      <c r="G98" s="66"/>
      <c r="H98" s="66"/>
      <c r="I98" s="66"/>
      <c r="J98" s="66"/>
      <c r="K98" s="66"/>
    </row>
    <row r="99" spans="3:11">
      <c r="C99" s="66"/>
      <c r="D99" s="66"/>
      <c r="E99" s="66"/>
      <c r="F99" s="66"/>
      <c r="G99" s="66"/>
      <c r="H99" s="66"/>
      <c r="I99" s="66"/>
      <c r="J99" s="66"/>
      <c r="K99" s="66"/>
    </row>
  </sheetData>
  <mergeCells count="5">
    <mergeCell ref="B1:K1"/>
    <mergeCell ref="H4:I4"/>
    <mergeCell ref="E9:I9"/>
    <mergeCell ref="E10:I10"/>
    <mergeCell ref="E11:I11"/>
  </mergeCells>
  <conditionalFormatting sqref="E6">
    <cfRule type="expression" dxfId="16" priority="11" stopIfTrue="1">
      <formula>#REF!=1</formula>
    </cfRule>
  </conditionalFormatting>
  <conditionalFormatting sqref="E14">
    <cfRule type="expression" dxfId="15" priority="10" stopIfTrue="1">
      <formula>#REF!=1</formula>
    </cfRule>
  </conditionalFormatting>
  <conditionalFormatting sqref="E24:E25">
    <cfRule type="expression" dxfId="14" priority="8" stopIfTrue="1">
      <formula>#REF!=1</formula>
    </cfRule>
  </conditionalFormatting>
  <conditionalFormatting sqref="E28:E30">
    <cfRule type="expression" dxfId="13" priority="6" stopIfTrue="1">
      <formula>#REF!=1</formula>
    </cfRule>
  </conditionalFormatting>
  <conditionalFormatting sqref="E36:E46">
    <cfRule type="expression" dxfId="12" priority="5" stopIfTrue="1">
      <formula>#REF!=1</formula>
    </cfRule>
  </conditionalFormatting>
  <conditionalFormatting sqref="E53:H53">
    <cfRule type="expression" dxfId="11" priority="3" stopIfTrue="1">
      <formula>#REF!=1</formula>
    </cfRule>
  </conditionalFormatting>
  <conditionalFormatting sqref="E55:H55">
    <cfRule type="expression" dxfId="10" priority="2" stopIfTrue="1">
      <formula>#REF!=1</formula>
    </cfRule>
  </conditionalFormatting>
  <conditionalFormatting sqref="F45:I46">
    <cfRule type="expression" dxfId="9" priority="1" stopIfTrue="1">
      <formula>#REF!=1</formula>
    </cfRule>
  </conditionalFormatting>
  <conditionalFormatting sqref="H25:I25">
    <cfRule type="expression" dxfId="8" priority="7" stopIfTrue="1">
      <formula>#REF!=1</formula>
    </cfRule>
  </conditionalFormatting>
  <conditionalFormatting sqref="L22:L23">
    <cfRule type="expression" dxfId="7" priority="12">
      <formula>$A$1=1</formula>
    </cfRule>
  </conditionalFormatting>
  <conditionalFormatting sqref="L46:L50 L52 L56">
    <cfRule type="expression" dxfId="6" priority="13">
      <formula>$A$1=1</formula>
    </cfRule>
  </conditionalFormatting>
  <pageMargins left="0.75" right="0.25" top="0.5" bottom="0.63" header="0.5" footer="0.32"/>
  <pageSetup scale="60" firstPageNumber="75" orientation="portrait" useFirstPageNumber="1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E0CB-B8BF-43D4-B317-9F70F2D0FC59}">
  <dimension ref="B2:D13"/>
  <sheetViews>
    <sheetView showGridLines="0" workbookViewId="0"/>
  </sheetViews>
  <sheetFormatPr defaultRowHeight="12.75"/>
  <cols>
    <col min="2" max="2" width="21" bestFit="1" customWidth="1"/>
    <col min="4" max="4" width="12.42578125" bestFit="1" customWidth="1"/>
  </cols>
  <sheetData>
    <row r="2" spans="2:4" ht="15">
      <c r="B2" s="534" t="s">
        <v>319</v>
      </c>
      <c r="C2" s="535"/>
      <c r="D2" s="536"/>
    </row>
    <row r="3" spans="2:4" ht="15">
      <c r="B3" s="227" t="s">
        <v>369</v>
      </c>
      <c r="D3" s="228">
        <v>6.25E-2</v>
      </c>
    </row>
    <row r="4" spans="2:4" ht="15">
      <c r="B4" s="227"/>
      <c r="D4" s="229"/>
    </row>
    <row r="5" spans="2:4" ht="15">
      <c r="B5" s="227" t="s">
        <v>370</v>
      </c>
      <c r="D5" s="230" t="e">
        <f>#REF!</f>
        <v>#REF!</v>
      </c>
    </row>
    <row r="6" spans="2:4" ht="15.75">
      <c r="B6" s="231" t="s">
        <v>371</v>
      </c>
      <c r="C6" s="232"/>
      <c r="D6" s="233" t="e">
        <f>+IF(D9/D5&lt;D3,D5-(D9/D3),0)</f>
        <v>#REF!</v>
      </c>
    </row>
    <row r="7" spans="2:4" ht="15">
      <c r="B7" s="234" t="s">
        <v>372</v>
      </c>
      <c r="C7" s="235"/>
      <c r="D7" s="236" t="e">
        <f>+D5-D6</f>
        <v>#REF!</v>
      </c>
    </row>
    <row r="8" spans="2:4">
      <c r="B8" s="237"/>
      <c r="D8" s="238"/>
    </row>
    <row r="9" spans="2:4" ht="15">
      <c r="B9" s="234" t="s">
        <v>373</v>
      </c>
      <c r="C9" s="235"/>
      <c r="D9" s="239" t="e">
        <f>#REF!</f>
        <v>#REF!</v>
      </c>
    </row>
    <row r="10" spans="2:4">
      <c r="B10" s="240"/>
      <c r="C10" s="241"/>
      <c r="D10" s="242"/>
    </row>
    <row r="11" spans="2:4">
      <c r="B11" s="243" t="s">
        <v>374</v>
      </c>
      <c r="D11" s="244" t="e">
        <f>+D5*D3</f>
        <v>#REF!</v>
      </c>
    </row>
    <row r="12" spans="2:4">
      <c r="B12" s="243" t="s">
        <v>319</v>
      </c>
      <c r="D12" s="245" t="e">
        <f>D11/D5</f>
        <v>#REF!</v>
      </c>
    </row>
    <row r="13" spans="2:4">
      <c r="B13" s="246" t="s">
        <v>375</v>
      </c>
      <c r="C13" s="247"/>
      <c r="D13" s="248" t="e">
        <f>D11-D9</f>
        <v>#REF!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E039-4A6A-45C5-8517-B30A2965E0C2}">
  <sheetPr>
    <pageSetUpPr fitToPage="1"/>
  </sheetPr>
  <dimension ref="B1:N84"/>
  <sheetViews>
    <sheetView topLeftCell="C1" zoomScaleNormal="100" zoomScalePageLayoutView="70" workbookViewId="0">
      <selection activeCell="I79" sqref="I79"/>
    </sheetView>
  </sheetViews>
  <sheetFormatPr defaultRowHeight="12.75"/>
  <cols>
    <col min="1" max="1" width="0" hidden="1" customWidth="1"/>
    <col min="2" max="2" width="9.5703125" hidden="1" customWidth="1"/>
    <col min="3" max="3" width="48.140625" style="105" customWidth="1"/>
    <col min="4" max="4" width="3.5703125" style="105" customWidth="1"/>
    <col min="5" max="5" width="16.140625" style="105" customWidth="1"/>
    <col min="6" max="7" width="13.7109375" style="105" customWidth="1"/>
    <col min="8" max="8" width="15" style="105" customWidth="1"/>
    <col min="9" max="11" width="15.140625" style="105" customWidth="1"/>
    <col min="256" max="257" width="0" hidden="1" customWidth="1"/>
    <col min="258" max="258" width="48.140625" customWidth="1"/>
    <col min="259" max="259" width="3.5703125" customWidth="1"/>
    <col min="260" max="260" width="16.140625" customWidth="1"/>
    <col min="261" max="262" width="13.7109375" customWidth="1"/>
    <col min="263" max="263" width="15" customWidth="1"/>
    <col min="264" max="265" width="15.140625" customWidth="1"/>
    <col min="266" max="266" width="21.28515625" customWidth="1"/>
    <col min="512" max="513" width="0" hidden="1" customWidth="1"/>
    <col min="514" max="514" width="48.140625" customWidth="1"/>
    <col min="515" max="515" width="3.5703125" customWidth="1"/>
    <col min="516" max="516" width="16.140625" customWidth="1"/>
    <col min="517" max="518" width="13.7109375" customWidth="1"/>
    <col min="519" max="519" width="15" customWidth="1"/>
    <col min="520" max="521" width="15.140625" customWidth="1"/>
    <col min="522" max="522" width="21.28515625" customWidth="1"/>
    <col min="768" max="769" width="0" hidden="1" customWidth="1"/>
    <col min="770" max="770" width="48.140625" customWidth="1"/>
    <col min="771" max="771" width="3.5703125" customWidth="1"/>
    <col min="772" max="772" width="16.140625" customWidth="1"/>
    <col min="773" max="774" width="13.7109375" customWidth="1"/>
    <col min="775" max="775" width="15" customWidth="1"/>
    <col min="776" max="777" width="15.140625" customWidth="1"/>
    <col min="778" max="778" width="21.28515625" customWidth="1"/>
    <col min="1024" max="1025" width="0" hidden="1" customWidth="1"/>
    <col min="1026" max="1026" width="48.140625" customWidth="1"/>
    <col min="1027" max="1027" width="3.5703125" customWidth="1"/>
    <col min="1028" max="1028" width="16.140625" customWidth="1"/>
    <col min="1029" max="1030" width="13.7109375" customWidth="1"/>
    <col min="1031" max="1031" width="15" customWidth="1"/>
    <col min="1032" max="1033" width="15.140625" customWidth="1"/>
    <col min="1034" max="1034" width="21.28515625" customWidth="1"/>
    <col min="1280" max="1281" width="0" hidden="1" customWidth="1"/>
    <col min="1282" max="1282" width="48.140625" customWidth="1"/>
    <col min="1283" max="1283" width="3.5703125" customWidth="1"/>
    <col min="1284" max="1284" width="16.140625" customWidth="1"/>
    <col min="1285" max="1286" width="13.7109375" customWidth="1"/>
    <col min="1287" max="1287" width="15" customWidth="1"/>
    <col min="1288" max="1289" width="15.140625" customWidth="1"/>
    <col min="1290" max="1290" width="21.28515625" customWidth="1"/>
    <col min="1536" max="1537" width="0" hidden="1" customWidth="1"/>
    <col min="1538" max="1538" width="48.140625" customWidth="1"/>
    <col min="1539" max="1539" width="3.5703125" customWidth="1"/>
    <col min="1540" max="1540" width="16.140625" customWidth="1"/>
    <col min="1541" max="1542" width="13.7109375" customWidth="1"/>
    <col min="1543" max="1543" width="15" customWidth="1"/>
    <col min="1544" max="1545" width="15.140625" customWidth="1"/>
    <col min="1546" max="1546" width="21.28515625" customWidth="1"/>
    <col min="1792" max="1793" width="0" hidden="1" customWidth="1"/>
    <col min="1794" max="1794" width="48.140625" customWidth="1"/>
    <col min="1795" max="1795" width="3.5703125" customWidth="1"/>
    <col min="1796" max="1796" width="16.140625" customWidth="1"/>
    <col min="1797" max="1798" width="13.7109375" customWidth="1"/>
    <col min="1799" max="1799" width="15" customWidth="1"/>
    <col min="1800" max="1801" width="15.140625" customWidth="1"/>
    <col min="1802" max="1802" width="21.28515625" customWidth="1"/>
    <col min="2048" max="2049" width="0" hidden="1" customWidth="1"/>
    <col min="2050" max="2050" width="48.140625" customWidth="1"/>
    <col min="2051" max="2051" width="3.5703125" customWidth="1"/>
    <col min="2052" max="2052" width="16.140625" customWidth="1"/>
    <col min="2053" max="2054" width="13.7109375" customWidth="1"/>
    <col min="2055" max="2055" width="15" customWidth="1"/>
    <col min="2056" max="2057" width="15.140625" customWidth="1"/>
    <col min="2058" max="2058" width="21.28515625" customWidth="1"/>
    <col min="2304" max="2305" width="0" hidden="1" customWidth="1"/>
    <col min="2306" max="2306" width="48.140625" customWidth="1"/>
    <col min="2307" max="2307" width="3.5703125" customWidth="1"/>
    <col min="2308" max="2308" width="16.140625" customWidth="1"/>
    <col min="2309" max="2310" width="13.7109375" customWidth="1"/>
    <col min="2311" max="2311" width="15" customWidth="1"/>
    <col min="2312" max="2313" width="15.140625" customWidth="1"/>
    <col min="2314" max="2314" width="21.28515625" customWidth="1"/>
    <col min="2560" max="2561" width="0" hidden="1" customWidth="1"/>
    <col min="2562" max="2562" width="48.140625" customWidth="1"/>
    <col min="2563" max="2563" width="3.5703125" customWidth="1"/>
    <col min="2564" max="2564" width="16.140625" customWidth="1"/>
    <col min="2565" max="2566" width="13.7109375" customWidth="1"/>
    <col min="2567" max="2567" width="15" customWidth="1"/>
    <col min="2568" max="2569" width="15.140625" customWidth="1"/>
    <col min="2570" max="2570" width="21.28515625" customWidth="1"/>
    <col min="2816" max="2817" width="0" hidden="1" customWidth="1"/>
    <col min="2818" max="2818" width="48.140625" customWidth="1"/>
    <col min="2819" max="2819" width="3.5703125" customWidth="1"/>
    <col min="2820" max="2820" width="16.140625" customWidth="1"/>
    <col min="2821" max="2822" width="13.7109375" customWidth="1"/>
    <col min="2823" max="2823" width="15" customWidth="1"/>
    <col min="2824" max="2825" width="15.140625" customWidth="1"/>
    <col min="2826" max="2826" width="21.28515625" customWidth="1"/>
    <col min="3072" max="3073" width="0" hidden="1" customWidth="1"/>
    <col min="3074" max="3074" width="48.140625" customWidth="1"/>
    <col min="3075" max="3075" width="3.5703125" customWidth="1"/>
    <col min="3076" max="3076" width="16.140625" customWidth="1"/>
    <col min="3077" max="3078" width="13.7109375" customWidth="1"/>
    <col min="3079" max="3079" width="15" customWidth="1"/>
    <col min="3080" max="3081" width="15.140625" customWidth="1"/>
    <col min="3082" max="3082" width="21.28515625" customWidth="1"/>
    <col min="3328" max="3329" width="0" hidden="1" customWidth="1"/>
    <col min="3330" max="3330" width="48.140625" customWidth="1"/>
    <col min="3331" max="3331" width="3.5703125" customWidth="1"/>
    <col min="3332" max="3332" width="16.140625" customWidth="1"/>
    <col min="3333" max="3334" width="13.7109375" customWidth="1"/>
    <col min="3335" max="3335" width="15" customWidth="1"/>
    <col min="3336" max="3337" width="15.140625" customWidth="1"/>
    <col min="3338" max="3338" width="21.28515625" customWidth="1"/>
    <col min="3584" max="3585" width="0" hidden="1" customWidth="1"/>
    <col min="3586" max="3586" width="48.140625" customWidth="1"/>
    <col min="3587" max="3587" width="3.5703125" customWidth="1"/>
    <col min="3588" max="3588" width="16.140625" customWidth="1"/>
    <col min="3589" max="3590" width="13.7109375" customWidth="1"/>
    <col min="3591" max="3591" width="15" customWidth="1"/>
    <col min="3592" max="3593" width="15.140625" customWidth="1"/>
    <col min="3594" max="3594" width="21.28515625" customWidth="1"/>
    <col min="3840" max="3841" width="0" hidden="1" customWidth="1"/>
    <col min="3842" max="3842" width="48.140625" customWidth="1"/>
    <col min="3843" max="3843" width="3.5703125" customWidth="1"/>
    <col min="3844" max="3844" width="16.140625" customWidth="1"/>
    <col min="3845" max="3846" width="13.7109375" customWidth="1"/>
    <col min="3847" max="3847" width="15" customWidth="1"/>
    <col min="3848" max="3849" width="15.140625" customWidth="1"/>
    <col min="3850" max="3850" width="21.28515625" customWidth="1"/>
    <col min="4096" max="4097" width="0" hidden="1" customWidth="1"/>
    <col min="4098" max="4098" width="48.140625" customWidth="1"/>
    <col min="4099" max="4099" width="3.5703125" customWidth="1"/>
    <col min="4100" max="4100" width="16.140625" customWidth="1"/>
    <col min="4101" max="4102" width="13.7109375" customWidth="1"/>
    <col min="4103" max="4103" width="15" customWidth="1"/>
    <col min="4104" max="4105" width="15.140625" customWidth="1"/>
    <col min="4106" max="4106" width="21.28515625" customWidth="1"/>
    <col min="4352" max="4353" width="0" hidden="1" customWidth="1"/>
    <col min="4354" max="4354" width="48.140625" customWidth="1"/>
    <col min="4355" max="4355" width="3.5703125" customWidth="1"/>
    <col min="4356" max="4356" width="16.140625" customWidth="1"/>
    <col min="4357" max="4358" width="13.7109375" customWidth="1"/>
    <col min="4359" max="4359" width="15" customWidth="1"/>
    <col min="4360" max="4361" width="15.140625" customWidth="1"/>
    <col min="4362" max="4362" width="21.28515625" customWidth="1"/>
    <col min="4608" max="4609" width="0" hidden="1" customWidth="1"/>
    <col min="4610" max="4610" width="48.140625" customWidth="1"/>
    <col min="4611" max="4611" width="3.5703125" customWidth="1"/>
    <col min="4612" max="4612" width="16.140625" customWidth="1"/>
    <col min="4613" max="4614" width="13.7109375" customWidth="1"/>
    <col min="4615" max="4615" width="15" customWidth="1"/>
    <col min="4616" max="4617" width="15.140625" customWidth="1"/>
    <col min="4618" max="4618" width="21.28515625" customWidth="1"/>
    <col min="4864" max="4865" width="0" hidden="1" customWidth="1"/>
    <col min="4866" max="4866" width="48.140625" customWidth="1"/>
    <col min="4867" max="4867" width="3.5703125" customWidth="1"/>
    <col min="4868" max="4868" width="16.140625" customWidth="1"/>
    <col min="4869" max="4870" width="13.7109375" customWidth="1"/>
    <col min="4871" max="4871" width="15" customWidth="1"/>
    <col min="4872" max="4873" width="15.140625" customWidth="1"/>
    <col min="4874" max="4874" width="21.28515625" customWidth="1"/>
    <col min="5120" max="5121" width="0" hidden="1" customWidth="1"/>
    <col min="5122" max="5122" width="48.140625" customWidth="1"/>
    <col min="5123" max="5123" width="3.5703125" customWidth="1"/>
    <col min="5124" max="5124" width="16.140625" customWidth="1"/>
    <col min="5125" max="5126" width="13.7109375" customWidth="1"/>
    <col min="5127" max="5127" width="15" customWidth="1"/>
    <col min="5128" max="5129" width="15.140625" customWidth="1"/>
    <col min="5130" max="5130" width="21.28515625" customWidth="1"/>
    <col min="5376" max="5377" width="0" hidden="1" customWidth="1"/>
    <col min="5378" max="5378" width="48.140625" customWidth="1"/>
    <col min="5379" max="5379" width="3.5703125" customWidth="1"/>
    <col min="5380" max="5380" width="16.140625" customWidth="1"/>
    <col min="5381" max="5382" width="13.7109375" customWidth="1"/>
    <col min="5383" max="5383" width="15" customWidth="1"/>
    <col min="5384" max="5385" width="15.140625" customWidth="1"/>
    <col min="5386" max="5386" width="21.28515625" customWidth="1"/>
    <col min="5632" max="5633" width="0" hidden="1" customWidth="1"/>
    <col min="5634" max="5634" width="48.140625" customWidth="1"/>
    <col min="5635" max="5635" width="3.5703125" customWidth="1"/>
    <col min="5636" max="5636" width="16.140625" customWidth="1"/>
    <col min="5637" max="5638" width="13.7109375" customWidth="1"/>
    <col min="5639" max="5639" width="15" customWidth="1"/>
    <col min="5640" max="5641" width="15.140625" customWidth="1"/>
    <col min="5642" max="5642" width="21.28515625" customWidth="1"/>
    <col min="5888" max="5889" width="0" hidden="1" customWidth="1"/>
    <col min="5890" max="5890" width="48.140625" customWidth="1"/>
    <col min="5891" max="5891" width="3.5703125" customWidth="1"/>
    <col min="5892" max="5892" width="16.140625" customWidth="1"/>
    <col min="5893" max="5894" width="13.7109375" customWidth="1"/>
    <col min="5895" max="5895" width="15" customWidth="1"/>
    <col min="5896" max="5897" width="15.140625" customWidth="1"/>
    <col min="5898" max="5898" width="21.28515625" customWidth="1"/>
    <col min="6144" max="6145" width="0" hidden="1" customWidth="1"/>
    <col min="6146" max="6146" width="48.140625" customWidth="1"/>
    <col min="6147" max="6147" width="3.5703125" customWidth="1"/>
    <col min="6148" max="6148" width="16.140625" customWidth="1"/>
    <col min="6149" max="6150" width="13.7109375" customWidth="1"/>
    <col min="6151" max="6151" width="15" customWidth="1"/>
    <col min="6152" max="6153" width="15.140625" customWidth="1"/>
    <col min="6154" max="6154" width="21.28515625" customWidth="1"/>
    <col min="6400" max="6401" width="0" hidden="1" customWidth="1"/>
    <col min="6402" max="6402" width="48.140625" customWidth="1"/>
    <col min="6403" max="6403" width="3.5703125" customWidth="1"/>
    <col min="6404" max="6404" width="16.140625" customWidth="1"/>
    <col min="6405" max="6406" width="13.7109375" customWidth="1"/>
    <col min="6407" max="6407" width="15" customWidth="1"/>
    <col min="6408" max="6409" width="15.140625" customWidth="1"/>
    <col min="6410" max="6410" width="21.28515625" customWidth="1"/>
    <col min="6656" max="6657" width="0" hidden="1" customWidth="1"/>
    <col min="6658" max="6658" width="48.140625" customWidth="1"/>
    <col min="6659" max="6659" width="3.5703125" customWidth="1"/>
    <col min="6660" max="6660" width="16.140625" customWidth="1"/>
    <col min="6661" max="6662" width="13.7109375" customWidth="1"/>
    <col min="6663" max="6663" width="15" customWidth="1"/>
    <col min="6664" max="6665" width="15.140625" customWidth="1"/>
    <col min="6666" max="6666" width="21.28515625" customWidth="1"/>
    <col min="6912" max="6913" width="0" hidden="1" customWidth="1"/>
    <col min="6914" max="6914" width="48.140625" customWidth="1"/>
    <col min="6915" max="6915" width="3.5703125" customWidth="1"/>
    <col min="6916" max="6916" width="16.140625" customWidth="1"/>
    <col min="6917" max="6918" width="13.7109375" customWidth="1"/>
    <col min="6919" max="6919" width="15" customWidth="1"/>
    <col min="6920" max="6921" width="15.140625" customWidth="1"/>
    <col min="6922" max="6922" width="21.28515625" customWidth="1"/>
    <col min="7168" max="7169" width="0" hidden="1" customWidth="1"/>
    <col min="7170" max="7170" width="48.140625" customWidth="1"/>
    <col min="7171" max="7171" width="3.5703125" customWidth="1"/>
    <col min="7172" max="7172" width="16.140625" customWidth="1"/>
    <col min="7173" max="7174" width="13.7109375" customWidth="1"/>
    <col min="7175" max="7175" width="15" customWidth="1"/>
    <col min="7176" max="7177" width="15.140625" customWidth="1"/>
    <col min="7178" max="7178" width="21.28515625" customWidth="1"/>
    <col min="7424" max="7425" width="0" hidden="1" customWidth="1"/>
    <col min="7426" max="7426" width="48.140625" customWidth="1"/>
    <col min="7427" max="7427" width="3.5703125" customWidth="1"/>
    <col min="7428" max="7428" width="16.140625" customWidth="1"/>
    <col min="7429" max="7430" width="13.7109375" customWidth="1"/>
    <col min="7431" max="7431" width="15" customWidth="1"/>
    <col min="7432" max="7433" width="15.140625" customWidth="1"/>
    <col min="7434" max="7434" width="21.28515625" customWidth="1"/>
    <col min="7680" max="7681" width="0" hidden="1" customWidth="1"/>
    <col min="7682" max="7682" width="48.140625" customWidth="1"/>
    <col min="7683" max="7683" width="3.5703125" customWidth="1"/>
    <col min="7684" max="7684" width="16.140625" customWidth="1"/>
    <col min="7685" max="7686" width="13.7109375" customWidth="1"/>
    <col min="7687" max="7687" width="15" customWidth="1"/>
    <col min="7688" max="7689" width="15.140625" customWidth="1"/>
    <col min="7690" max="7690" width="21.28515625" customWidth="1"/>
    <col min="7936" max="7937" width="0" hidden="1" customWidth="1"/>
    <col min="7938" max="7938" width="48.140625" customWidth="1"/>
    <col min="7939" max="7939" width="3.5703125" customWidth="1"/>
    <col min="7940" max="7940" width="16.140625" customWidth="1"/>
    <col min="7941" max="7942" width="13.7109375" customWidth="1"/>
    <col min="7943" max="7943" width="15" customWidth="1"/>
    <col min="7944" max="7945" width="15.140625" customWidth="1"/>
    <col min="7946" max="7946" width="21.28515625" customWidth="1"/>
    <col min="8192" max="8193" width="0" hidden="1" customWidth="1"/>
    <col min="8194" max="8194" width="48.140625" customWidth="1"/>
    <col min="8195" max="8195" width="3.5703125" customWidth="1"/>
    <col min="8196" max="8196" width="16.140625" customWidth="1"/>
    <col min="8197" max="8198" width="13.7109375" customWidth="1"/>
    <col min="8199" max="8199" width="15" customWidth="1"/>
    <col min="8200" max="8201" width="15.140625" customWidth="1"/>
    <col min="8202" max="8202" width="21.28515625" customWidth="1"/>
    <col min="8448" max="8449" width="0" hidden="1" customWidth="1"/>
    <col min="8450" max="8450" width="48.140625" customWidth="1"/>
    <col min="8451" max="8451" width="3.5703125" customWidth="1"/>
    <col min="8452" max="8452" width="16.140625" customWidth="1"/>
    <col min="8453" max="8454" width="13.7109375" customWidth="1"/>
    <col min="8455" max="8455" width="15" customWidth="1"/>
    <col min="8456" max="8457" width="15.140625" customWidth="1"/>
    <col min="8458" max="8458" width="21.28515625" customWidth="1"/>
    <col min="8704" max="8705" width="0" hidden="1" customWidth="1"/>
    <col min="8706" max="8706" width="48.140625" customWidth="1"/>
    <col min="8707" max="8707" width="3.5703125" customWidth="1"/>
    <col min="8708" max="8708" width="16.140625" customWidth="1"/>
    <col min="8709" max="8710" width="13.7109375" customWidth="1"/>
    <col min="8711" max="8711" width="15" customWidth="1"/>
    <col min="8712" max="8713" width="15.140625" customWidth="1"/>
    <col min="8714" max="8714" width="21.28515625" customWidth="1"/>
    <col min="8960" max="8961" width="0" hidden="1" customWidth="1"/>
    <col min="8962" max="8962" width="48.140625" customWidth="1"/>
    <col min="8963" max="8963" width="3.5703125" customWidth="1"/>
    <col min="8964" max="8964" width="16.140625" customWidth="1"/>
    <col min="8965" max="8966" width="13.7109375" customWidth="1"/>
    <col min="8967" max="8967" width="15" customWidth="1"/>
    <col min="8968" max="8969" width="15.140625" customWidth="1"/>
    <col min="8970" max="8970" width="21.28515625" customWidth="1"/>
    <col min="9216" max="9217" width="0" hidden="1" customWidth="1"/>
    <col min="9218" max="9218" width="48.140625" customWidth="1"/>
    <col min="9219" max="9219" width="3.5703125" customWidth="1"/>
    <col min="9220" max="9220" width="16.140625" customWidth="1"/>
    <col min="9221" max="9222" width="13.7109375" customWidth="1"/>
    <col min="9223" max="9223" width="15" customWidth="1"/>
    <col min="9224" max="9225" width="15.140625" customWidth="1"/>
    <col min="9226" max="9226" width="21.28515625" customWidth="1"/>
    <col min="9472" max="9473" width="0" hidden="1" customWidth="1"/>
    <col min="9474" max="9474" width="48.140625" customWidth="1"/>
    <col min="9475" max="9475" width="3.5703125" customWidth="1"/>
    <col min="9476" max="9476" width="16.140625" customWidth="1"/>
    <col min="9477" max="9478" width="13.7109375" customWidth="1"/>
    <col min="9479" max="9479" width="15" customWidth="1"/>
    <col min="9480" max="9481" width="15.140625" customWidth="1"/>
    <col min="9482" max="9482" width="21.28515625" customWidth="1"/>
    <col min="9728" max="9729" width="0" hidden="1" customWidth="1"/>
    <col min="9730" max="9730" width="48.140625" customWidth="1"/>
    <col min="9731" max="9731" width="3.5703125" customWidth="1"/>
    <col min="9732" max="9732" width="16.140625" customWidth="1"/>
    <col min="9733" max="9734" width="13.7109375" customWidth="1"/>
    <col min="9735" max="9735" width="15" customWidth="1"/>
    <col min="9736" max="9737" width="15.140625" customWidth="1"/>
    <col min="9738" max="9738" width="21.28515625" customWidth="1"/>
    <col min="9984" max="9985" width="0" hidden="1" customWidth="1"/>
    <col min="9986" max="9986" width="48.140625" customWidth="1"/>
    <col min="9987" max="9987" width="3.5703125" customWidth="1"/>
    <col min="9988" max="9988" width="16.140625" customWidth="1"/>
    <col min="9989" max="9990" width="13.7109375" customWidth="1"/>
    <col min="9991" max="9991" width="15" customWidth="1"/>
    <col min="9992" max="9993" width="15.140625" customWidth="1"/>
    <col min="9994" max="9994" width="21.28515625" customWidth="1"/>
    <col min="10240" max="10241" width="0" hidden="1" customWidth="1"/>
    <col min="10242" max="10242" width="48.140625" customWidth="1"/>
    <col min="10243" max="10243" width="3.5703125" customWidth="1"/>
    <col min="10244" max="10244" width="16.140625" customWidth="1"/>
    <col min="10245" max="10246" width="13.7109375" customWidth="1"/>
    <col min="10247" max="10247" width="15" customWidth="1"/>
    <col min="10248" max="10249" width="15.140625" customWidth="1"/>
    <col min="10250" max="10250" width="21.28515625" customWidth="1"/>
    <col min="10496" max="10497" width="0" hidden="1" customWidth="1"/>
    <col min="10498" max="10498" width="48.140625" customWidth="1"/>
    <col min="10499" max="10499" width="3.5703125" customWidth="1"/>
    <col min="10500" max="10500" width="16.140625" customWidth="1"/>
    <col min="10501" max="10502" width="13.7109375" customWidth="1"/>
    <col min="10503" max="10503" width="15" customWidth="1"/>
    <col min="10504" max="10505" width="15.140625" customWidth="1"/>
    <col min="10506" max="10506" width="21.28515625" customWidth="1"/>
    <col min="10752" max="10753" width="0" hidden="1" customWidth="1"/>
    <col min="10754" max="10754" width="48.140625" customWidth="1"/>
    <col min="10755" max="10755" width="3.5703125" customWidth="1"/>
    <col min="10756" max="10756" width="16.140625" customWidth="1"/>
    <col min="10757" max="10758" width="13.7109375" customWidth="1"/>
    <col min="10759" max="10759" width="15" customWidth="1"/>
    <col min="10760" max="10761" width="15.140625" customWidth="1"/>
    <col min="10762" max="10762" width="21.28515625" customWidth="1"/>
    <col min="11008" max="11009" width="0" hidden="1" customWidth="1"/>
    <col min="11010" max="11010" width="48.140625" customWidth="1"/>
    <col min="11011" max="11011" width="3.5703125" customWidth="1"/>
    <col min="11012" max="11012" width="16.140625" customWidth="1"/>
    <col min="11013" max="11014" width="13.7109375" customWidth="1"/>
    <col min="11015" max="11015" width="15" customWidth="1"/>
    <col min="11016" max="11017" width="15.140625" customWidth="1"/>
    <col min="11018" max="11018" width="21.28515625" customWidth="1"/>
    <col min="11264" max="11265" width="0" hidden="1" customWidth="1"/>
    <col min="11266" max="11266" width="48.140625" customWidth="1"/>
    <col min="11267" max="11267" width="3.5703125" customWidth="1"/>
    <col min="11268" max="11268" width="16.140625" customWidth="1"/>
    <col min="11269" max="11270" width="13.7109375" customWidth="1"/>
    <col min="11271" max="11271" width="15" customWidth="1"/>
    <col min="11272" max="11273" width="15.140625" customWidth="1"/>
    <col min="11274" max="11274" width="21.28515625" customWidth="1"/>
    <col min="11520" max="11521" width="0" hidden="1" customWidth="1"/>
    <col min="11522" max="11522" width="48.140625" customWidth="1"/>
    <col min="11523" max="11523" width="3.5703125" customWidth="1"/>
    <col min="11524" max="11524" width="16.140625" customWidth="1"/>
    <col min="11525" max="11526" width="13.7109375" customWidth="1"/>
    <col min="11527" max="11527" width="15" customWidth="1"/>
    <col min="11528" max="11529" width="15.140625" customWidth="1"/>
    <col min="11530" max="11530" width="21.28515625" customWidth="1"/>
    <col min="11776" max="11777" width="0" hidden="1" customWidth="1"/>
    <col min="11778" max="11778" width="48.140625" customWidth="1"/>
    <col min="11779" max="11779" width="3.5703125" customWidth="1"/>
    <col min="11780" max="11780" width="16.140625" customWidth="1"/>
    <col min="11781" max="11782" width="13.7109375" customWidth="1"/>
    <col min="11783" max="11783" width="15" customWidth="1"/>
    <col min="11784" max="11785" width="15.140625" customWidth="1"/>
    <col min="11786" max="11786" width="21.28515625" customWidth="1"/>
    <col min="12032" max="12033" width="0" hidden="1" customWidth="1"/>
    <col min="12034" max="12034" width="48.140625" customWidth="1"/>
    <col min="12035" max="12035" width="3.5703125" customWidth="1"/>
    <col min="12036" max="12036" width="16.140625" customWidth="1"/>
    <col min="12037" max="12038" width="13.7109375" customWidth="1"/>
    <col min="12039" max="12039" width="15" customWidth="1"/>
    <col min="12040" max="12041" width="15.140625" customWidth="1"/>
    <col min="12042" max="12042" width="21.28515625" customWidth="1"/>
    <col min="12288" max="12289" width="0" hidden="1" customWidth="1"/>
    <col min="12290" max="12290" width="48.140625" customWidth="1"/>
    <col min="12291" max="12291" width="3.5703125" customWidth="1"/>
    <col min="12292" max="12292" width="16.140625" customWidth="1"/>
    <col min="12293" max="12294" width="13.7109375" customWidth="1"/>
    <col min="12295" max="12295" width="15" customWidth="1"/>
    <col min="12296" max="12297" width="15.140625" customWidth="1"/>
    <col min="12298" max="12298" width="21.28515625" customWidth="1"/>
    <col min="12544" max="12545" width="0" hidden="1" customWidth="1"/>
    <col min="12546" max="12546" width="48.140625" customWidth="1"/>
    <col min="12547" max="12547" width="3.5703125" customWidth="1"/>
    <col min="12548" max="12548" width="16.140625" customWidth="1"/>
    <col min="12549" max="12550" width="13.7109375" customWidth="1"/>
    <col min="12551" max="12551" width="15" customWidth="1"/>
    <col min="12552" max="12553" width="15.140625" customWidth="1"/>
    <col min="12554" max="12554" width="21.28515625" customWidth="1"/>
    <col min="12800" max="12801" width="0" hidden="1" customWidth="1"/>
    <col min="12802" max="12802" width="48.140625" customWidth="1"/>
    <col min="12803" max="12803" width="3.5703125" customWidth="1"/>
    <col min="12804" max="12804" width="16.140625" customWidth="1"/>
    <col min="12805" max="12806" width="13.7109375" customWidth="1"/>
    <col min="12807" max="12807" width="15" customWidth="1"/>
    <col min="12808" max="12809" width="15.140625" customWidth="1"/>
    <col min="12810" max="12810" width="21.28515625" customWidth="1"/>
    <col min="13056" max="13057" width="0" hidden="1" customWidth="1"/>
    <col min="13058" max="13058" width="48.140625" customWidth="1"/>
    <col min="13059" max="13059" width="3.5703125" customWidth="1"/>
    <col min="13060" max="13060" width="16.140625" customWidth="1"/>
    <col min="13061" max="13062" width="13.7109375" customWidth="1"/>
    <col min="13063" max="13063" width="15" customWidth="1"/>
    <col min="13064" max="13065" width="15.140625" customWidth="1"/>
    <col min="13066" max="13066" width="21.28515625" customWidth="1"/>
    <col min="13312" max="13313" width="0" hidden="1" customWidth="1"/>
    <col min="13314" max="13314" width="48.140625" customWidth="1"/>
    <col min="13315" max="13315" width="3.5703125" customWidth="1"/>
    <col min="13316" max="13316" width="16.140625" customWidth="1"/>
    <col min="13317" max="13318" width="13.7109375" customWidth="1"/>
    <col min="13319" max="13319" width="15" customWidth="1"/>
    <col min="13320" max="13321" width="15.140625" customWidth="1"/>
    <col min="13322" max="13322" width="21.28515625" customWidth="1"/>
    <col min="13568" max="13569" width="0" hidden="1" customWidth="1"/>
    <col min="13570" max="13570" width="48.140625" customWidth="1"/>
    <col min="13571" max="13571" width="3.5703125" customWidth="1"/>
    <col min="13572" max="13572" width="16.140625" customWidth="1"/>
    <col min="13573" max="13574" width="13.7109375" customWidth="1"/>
    <col min="13575" max="13575" width="15" customWidth="1"/>
    <col min="13576" max="13577" width="15.140625" customWidth="1"/>
    <col min="13578" max="13578" width="21.28515625" customWidth="1"/>
    <col min="13824" max="13825" width="0" hidden="1" customWidth="1"/>
    <col min="13826" max="13826" width="48.140625" customWidth="1"/>
    <col min="13827" max="13827" width="3.5703125" customWidth="1"/>
    <col min="13828" max="13828" width="16.140625" customWidth="1"/>
    <col min="13829" max="13830" width="13.7109375" customWidth="1"/>
    <col min="13831" max="13831" width="15" customWidth="1"/>
    <col min="13832" max="13833" width="15.140625" customWidth="1"/>
    <col min="13834" max="13834" width="21.28515625" customWidth="1"/>
    <col min="14080" max="14081" width="0" hidden="1" customWidth="1"/>
    <col min="14082" max="14082" width="48.140625" customWidth="1"/>
    <col min="14083" max="14083" width="3.5703125" customWidth="1"/>
    <col min="14084" max="14084" width="16.140625" customWidth="1"/>
    <col min="14085" max="14086" width="13.7109375" customWidth="1"/>
    <col min="14087" max="14087" width="15" customWidth="1"/>
    <col min="14088" max="14089" width="15.140625" customWidth="1"/>
    <col min="14090" max="14090" width="21.28515625" customWidth="1"/>
    <col min="14336" max="14337" width="0" hidden="1" customWidth="1"/>
    <col min="14338" max="14338" width="48.140625" customWidth="1"/>
    <col min="14339" max="14339" width="3.5703125" customWidth="1"/>
    <col min="14340" max="14340" width="16.140625" customWidth="1"/>
    <col min="14341" max="14342" width="13.7109375" customWidth="1"/>
    <col min="14343" max="14343" width="15" customWidth="1"/>
    <col min="14344" max="14345" width="15.140625" customWidth="1"/>
    <col min="14346" max="14346" width="21.28515625" customWidth="1"/>
    <col min="14592" max="14593" width="0" hidden="1" customWidth="1"/>
    <col min="14594" max="14594" width="48.140625" customWidth="1"/>
    <col min="14595" max="14595" width="3.5703125" customWidth="1"/>
    <col min="14596" max="14596" width="16.140625" customWidth="1"/>
    <col min="14597" max="14598" width="13.7109375" customWidth="1"/>
    <col min="14599" max="14599" width="15" customWidth="1"/>
    <col min="14600" max="14601" width="15.140625" customWidth="1"/>
    <col min="14602" max="14602" width="21.28515625" customWidth="1"/>
    <col min="14848" max="14849" width="0" hidden="1" customWidth="1"/>
    <col min="14850" max="14850" width="48.140625" customWidth="1"/>
    <col min="14851" max="14851" width="3.5703125" customWidth="1"/>
    <col min="14852" max="14852" width="16.140625" customWidth="1"/>
    <col min="14853" max="14854" width="13.7109375" customWidth="1"/>
    <col min="14855" max="14855" width="15" customWidth="1"/>
    <col min="14856" max="14857" width="15.140625" customWidth="1"/>
    <col min="14858" max="14858" width="21.28515625" customWidth="1"/>
    <col min="15104" max="15105" width="0" hidden="1" customWidth="1"/>
    <col min="15106" max="15106" width="48.140625" customWidth="1"/>
    <col min="15107" max="15107" width="3.5703125" customWidth="1"/>
    <col min="15108" max="15108" width="16.140625" customWidth="1"/>
    <col min="15109" max="15110" width="13.7109375" customWidth="1"/>
    <col min="15111" max="15111" width="15" customWidth="1"/>
    <col min="15112" max="15113" width="15.140625" customWidth="1"/>
    <col min="15114" max="15114" width="21.28515625" customWidth="1"/>
    <col min="15360" max="15361" width="0" hidden="1" customWidth="1"/>
    <col min="15362" max="15362" width="48.140625" customWidth="1"/>
    <col min="15363" max="15363" width="3.5703125" customWidth="1"/>
    <col min="15364" max="15364" width="16.140625" customWidth="1"/>
    <col min="15365" max="15366" width="13.7109375" customWidth="1"/>
    <col min="15367" max="15367" width="15" customWidth="1"/>
    <col min="15368" max="15369" width="15.140625" customWidth="1"/>
    <col min="15370" max="15370" width="21.28515625" customWidth="1"/>
    <col min="15616" max="15617" width="0" hidden="1" customWidth="1"/>
    <col min="15618" max="15618" width="48.140625" customWidth="1"/>
    <col min="15619" max="15619" width="3.5703125" customWidth="1"/>
    <col min="15620" max="15620" width="16.140625" customWidth="1"/>
    <col min="15621" max="15622" width="13.7109375" customWidth="1"/>
    <col min="15623" max="15623" width="15" customWidth="1"/>
    <col min="15624" max="15625" width="15.140625" customWidth="1"/>
    <col min="15626" max="15626" width="21.28515625" customWidth="1"/>
    <col min="15872" max="15873" width="0" hidden="1" customWidth="1"/>
    <col min="15874" max="15874" width="48.140625" customWidth="1"/>
    <col min="15875" max="15875" width="3.5703125" customWidth="1"/>
    <col min="15876" max="15876" width="16.140625" customWidth="1"/>
    <col min="15877" max="15878" width="13.7109375" customWidth="1"/>
    <col min="15879" max="15879" width="15" customWidth="1"/>
    <col min="15880" max="15881" width="15.140625" customWidth="1"/>
    <col min="15882" max="15882" width="21.28515625" customWidth="1"/>
    <col min="16128" max="16129" width="0" hidden="1" customWidth="1"/>
    <col min="16130" max="16130" width="48.140625" customWidth="1"/>
    <col min="16131" max="16131" width="3.5703125" customWidth="1"/>
    <col min="16132" max="16132" width="16.140625" customWidth="1"/>
    <col min="16133" max="16134" width="13.7109375" customWidth="1"/>
    <col min="16135" max="16135" width="15" customWidth="1"/>
    <col min="16136" max="16137" width="15.140625" customWidth="1"/>
    <col min="16138" max="16138" width="21.28515625" customWidth="1"/>
  </cols>
  <sheetData>
    <row r="1" spans="3:14" s="1" customFormat="1" ht="18">
      <c r="C1" s="537" t="s">
        <v>0</v>
      </c>
      <c r="D1" s="538"/>
      <c r="E1" s="538"/>
      <c r="F1" s="538"/>
      <c r="G1" s="538"/>
      <c r="H1" s="538"/>
      <c r="I1" s="538"/>
      <c r="J1" s="538"/>
    </row>
    <row r="2" spans="3:14" s="1" customFormat="1" ht="18">
      <c r="C2" s="2" t="s">
        <v>1</v>
      </c>
      <c r="D2" s="2"/>
      <c r="E2" s="3"/>
      <c r="F2" s="3"/>
      <c r="G2" s="3"/>
      <c r="H2" s="3"/>
      <c r="I2" s="3"/>
      <c r="J2" s="3"/>
      <c r="K2" s="3"/>
    </row>
    <row r="3" spans="3:14" s="1" customFormat="1" ht="18.75" thickBot="1">
      <c r="C3" s="2" t="s">
        <v>2</v>
      </c>
      <c r="D3" s="2"/>
      <c r="E3" s="3"/>
      <c r="F3" s="3"/>
      <c r="G3" s="3"/>
      <c r="H3" s="3"/>
      <c r="I3" s="3"/>
      <c r="J3" s="3"/>
      <c r="K3" s="3"/>
    </row>
    <row r="4" spans="3:14" ht="18.75" customHeight="1" thickTop="1" thickBot="1">
      <c r="C4" s="4" t="s">
        <v>3</v>
      </c>
      <c r="D4" s="5"/>
      <c r="E4" s="6"/>
      <c r="F4" s="7"/>
      <c r="G4" s="6"/>
      <c r="H4" s="524" t="s">
        <v>4</v>
      </c>
      <c r="I4" s="524"/>
      <c r="J4" s="8"/>
      <c r="K4" s="8"/>
      <c r="L4" s="9"/>
      <c r="M4" s="9"/>
      <c r="N4" s="9"/>
    </row>
    <row r="5" spans="3:14" ht="27" customHeight="1" thickBot="1">
      <c r="C5" s="10" t="s">
        <v>5</v>
      </c>
      <c r="D5" s="11"/>
      <c r="E5" s="12" t="s">
        <v>6</v>
      </c>
      <c r="F5" s="13" t="s">
        <v>7</v>
      </c>
      <c r="G5" s="14" t="s">
        <v>8</v>
      </c>
      <c r="H5" s="15" t="s">
        <v>9</v>
      </c>
      <c r="I5" s="15" t="s">
        <v>10</v>
      </c>
      <c r="J5" s="15"/>
      <c r="K5" s="15"/>
      <c r="L5" s="9"/>
      <c r="M5" s="9"/>
      <c r="N5" s="9"/>
    </row>
    <row r="6" spans="3:14">
      <c r="C6" s="16" t="s">
        <v>11</v>
      </c>
      <c r="D6" s="17"/>
      <c r="E6" s="18">
        <v>0</v>
      </c>
      <c r="F6" s="19" t="s">
        <v>12</v>
      </c>
      <c r="G6" s="20" t="s">
        <v>13</v>
      </c>
      <c r="H6" s="21">
        <v>0</v>
      </c>
      <c r="I6" s="22">
        <v>0</v>
      </c>
      <c r="J6" s="23"/>
      <c r="K6" s="23"/>
      <c r="L6" s="24"/>
      <c r="M6" s="24"/>
      <c r="N6" s="24"/>
    </row>
    <row r="7" spans="3:14">
      <c r="C7" s="16" t="s">
        <v>14</v>
      </c>
      <c r="D7" s="17"/>
      <c r="E7" s="21">
        <v>0</v>
      </c>
      <c r="F7" s="19" t="s">
        <v>12</v>
      </c>
      <c r="G7" s="20" t="s">
        <v>13</v>
      </c>
      <c r="H7" s="21">
        <v>0</v>
      </c>
      <c r="I7" s="22">
        <v>0</v>
      </c>
      <c r="J7" s="23"/>
      <c r="K7" s="23"/>
      <c r="L7" s="24"/>
      <c r="M7" s="24"/>
      <c r="N7" s="24"/>
    </row>
    <row r="8" spans="3:14">
      <c r="C8" s="16" t="s">
        <v>15</v>
      </c>
      <c r="D8" s="17"/>
      <c r="E8" s="21">
        <v>0</v>
      </c>
      <c r="F8" s="19" t="s">
        <v>12</v>
      </c>
      <c r="G8" s="20" t="s">
        <v>13</v>
      </c>
      <c r="H8" s="21">
        <v>0</v>
      </c>
      <c r="I8" s="22">
        <v>0</v>
      </c>
      <c r="J8" s="23"/>
      <c r="K8" s="23"/>
      <c r="L8" s="24"/>
      <c r="M8" s="24"/>
      <c r="N8" s="24"/>
    </row>
    <row r="9" spans="3:14">
      <c r="C9" s="25" t="s">
        <v>16</v>
      </c>
      <c r="D9" s="26"/>
      <c r="E9" s="27"/>
      <c r="F9" s="28"/>
      <c r="G9" s="29"/>
      <c r="H9" s="29"/>
      <c r="I9" s="30"/>
      <c r="J9" s="24"/>
      <c r="K9" s="24"/>
      <c r="L9" s="24"/>
      <c r="M9" s="24"/>
      <c r="N9" s="24"/>
    </row>
    <row r="10" spans="3:14">
      <c r="C10" s="31" t="s">
        <v>17</v>
      </c>
      <c r="D10" s="24"/>
      <c r="E10" s="32"/>
      <c r="F10" s="33"/>
      <c r="G10" s="34"/>
      <c r="H10" s="34"/>
      <c r="I10" s="34"/>
      <c r="J10" s="35"/>
      <c r="K10" s="35"/>
      <c r="L10" s="35"/>
      <c r="M10" s="24"/>
      <c r="N10" s="24"/>
    </row>
    <row r="11" spans="3:14">
      <c r="C11" s="16" t="s">
        <v>18</v>
      </c>
      <c r="D11" s="17"/>
      <c r="E11" s="36"/>
      <c r="F11" s="33"/>
      <c r="G11" s="34"/>
      <c r="H11" s="33"/>
      <c r="I11" s="37"/>
      <c r="J11" s="35"/>
      <c r="K11" s="35"/>
      <c r="L11" s="35"/>
      <c r="M11" s="24"/>
      <c r="N11" s="24"/>
    </row>
    <row r="12" spans="3:14">
      <c r="C12" s="38" t="s">
        <v>19</v>
      </c>
      <c r="D12" s="39"/>
      <c r="E12" s="40"/>
      <c r="F12" s="41"/>
      <c r="G12" s="42" t="s">
        <v>20</v>
      </c>
      <c r="H12" s="42"/>
      <c r="I12" s="43"/>
      <c r="J12" s="43"/>
      <c r="K12" s="43"/>
      <c r="L12" s="35"/>
      <c r="M12" s="24"/>
      <c r="N12" s="24"/>
    </row>
    <row r="13" spans="3:14">
      <c r="C13" s="38" t="s">
        <v>21</v>
      </c>
      <c r="D13" s="39"/>
      <c r="E13" s="19" t="s">
        <v>22</v>
      </c>
      <c r="F13" s="19" t="s">
        <v>22</v>
      </c>
      <c r="G13" s="44"/>
      <c r="H13" s="44"/>
      <c r="I13" s="45"/>
      <c r="J13" s="45"/>
      <c r="K13" s="45"/>
      <c r="L13" s="35"/>
      <c r="M13" s="24"/>
      <c r="N13" s="24"/>
    </row>
    <row r="14" spans="3:14">
      <c r="C14" s="38" t="s">
        <v>23</v>
      </c>
      <c r="D14" s="39"/>
      <c r="E14" s="21">
        <v>0</v>
      </c>
      <c r="F14" s="47">
        <v>0</v>
      </c>
      <c r="G14" s="48" t="s">
        <v>24</v>
      </c>
      <c r="H14" s="48"/>
      <c r="I14" s="45"/>
      <c r="J14" s="45"/>
      <c r="K14" s="45"/>
      <c r="L14" s="35"/>
      <c r="M14" s="24"/>
      <c r="N14" s="24"/>
    </row>
    <row r="15" spans="3:14">
      <c r="C15" s="49" t="s">
        <v>25</v>
      </c>
      <c r="D15" s="45"/>
      <c r="E15" s="50" t="s">
        <v>26</v>
      </c>
      <c r="F15" s="51" t="s">
        <v>12</v>
      </c>
      <c r="G15" s="52" t="s">
        <v>12</v>
      </c>
      <c r="H15" s="52" t="s">
        <v>12</v>
      </c>
      <c r="I15" s="52" t="s">
        <v>12</v>
      </c>
      <c r="J15" s="53"/>
      <c r="K15" s="53"/>
      <c r="L15" s="35"/>
      <c r="M15" s="24"/>
      <c r="N15" s="24"/>
    </row>
    <row r="16" spans="3:14">
      <c r="C16" s="54" t="s">
        <v>27</v>
      </c>
      <c r="D16" s="55"/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56"/>
      <c r="K16" s="56"/>
      <c r="L16" s="35"/>
      <c r="M16" s="24"/>
      <c r="N16" s="24"/>
    </row>
    <row r="17" spans="3:14">
      <c r="C17" s="54" t="s">
        <v>28</v>
      </c>
      <c r="D17" s="55"/>
      <c r="E17" s="19" t="s">
        <v>12</v>
      </c>
      <c r="F17" s="19" t="s">
        <v>12</v>
      </c>
      <c r="G17" s="19" t="s">
        <v>12</v>
      </c>
      <c r="H17" s="19" t="s">
        <v>12</v>
      </c>
      <c r="I17" s="19" t="s">
        <v>12</v>
      </c>
      <c r="J17" s="57"/>
      <c r="K17" s="57"/>
      <c r="L17" s="35"/>
      <c r="M17" s="24"/>
      <c r="N17" s="24"/>
    </row>
    <row r="18" spans="3:14">
      <c r="C18" s="38"/>
      <c r="D18" s="39"/>
      <c r="E18" s="58" t="s">
        <v>29</v>
      </c>
      <c r="F18" s="59"/>
      <c r="G18" s="60"/>
      <c r="H18" s="59"/>
      <c r="I18" s="60"/>
      <c r="J18" s="60"/>
      <c r="K18" s="60"/>
      <c r="L18" s="35"/>
      <c r="M18" s="24"/>
      <c r="N18" s="24"/>
    </row>
    <row r="19" spans="3:14" ht="13.5" thickBot="1">
      <c r="C19" s="61"/>
      <c r="D19" s="62"/>
      <c r="E19" s="63" t="s">
        <v>30</v>
      </c>
      <c r="F19" s="64"/>
      <c r="G19" s="65"/>
      <c r="H19" s="65"/>
      <c r="I19" s="65"/>
      <c r="J19" s="65"/>
      <c r="K19" s="65"/>
      <c r="L19" s="24"/>
      <c r="M19" s="24"/>
      <c r="N19" s="24"/>
    </row>
    <row r="20" spans="3:14" ht="13.5" thickTop="1">
      <c r="C20" s="66"/>
      <c r="D20" s="66"/>
      <c r="E20" s="11"/>
      <c r="F20" s="67"/>
      <c r="G20" s="67"/>
      <c r="H20" s="67"/>
      <c r="I20" s="67"/>
      <c r="J20" s="68"/>
      <c r="K20" s="68"/>
    </row>
    <row r="21" spans="3:14">
      <c r="C21" s="69" t="s">
        <v>31</v>
      </c>
      <c r="D21" s="69"/>
      <c r="E21" s="70"/>
      <c r="F21" s="71"/>
      <c r="G21" s="71"/>
      <c r="H21" s="71"/>
      <c r="I21" s="71"/>
      <c r="J21" s="71"/>
      <c r="K21" s="71"/>
    </row>
    <row r="22" spans="3:14">
      <c r="C22" s="72" t="s">
        <v>32</v>
      </c>
      <c r="D22" s="72"/>
      <c r="E22" s="66"/>
      <c r="F22" s="73"/>
      <c r="G22" s="73"/>
      <c r="H22" s="73"/>
      <c r="I22" s="74"/>
      <c r="J22" s="74"/>
      <c r="K22" s="74"/>
    </row>
    <row r="23" spans="3:14">
      <c r="C23" s="72" t="s">
        <v>33</v>
      </c>
      <c r="D23" s="72"/>
      <c r="E23" s="75" t="s">
        <v>34</v>
      </c>
      <c r="F23" s="76" t="s">
        <v>35</v>
      </c>
      <c r="G23" s="77" t="s">
        <v>36</v>
      </c>
      <c r="H23" s="78" t="s">
        <v>37</v>
      </c>
      <c r="I23" s="79" t="s">
        <v>38</v>
      </c>
      <c r="J23" s="79" t="s">
        <v>90</v>
      </c>
      <c r="K23" s="79" t="s">
        <v>91</v>
      </c>
    </row>
    <row r="24" spans="3:14">
      <c r="C24" s="80" t="s">
        <v>25</v>
      </c>
      <c r="D24" s="81"/>
      <c r="E24" s="82" t="s">
        <v>39</v>
      </c>
      <c r="F24" s="82"/>
      <c r="G24" s="82"/>
      <c r="H24" s="83" t="s">
        <v>40</v>
      </c>
      <c r="I24" s="84" t="s">
        <v>88</v>
      </c>
      <c r="J24" s="84" t="s">
        <v>88</v>
      </c>
      <c r="K24" s="84"/>
    </row>
    <row r="25" spans="3:14">
      <c r="C25" s="72" t="s">
        <v>41</v>
      </c>
      <c r="D25" s="72"/>
      <c r="E25" s="85"/>
      <c r="F25" s="86"/>
      <c r="G25" s="85"/>
      <c r="H25" s="87"/>
      <c r="I25" s="86"/>
      <c r="J25" s="88"/>
      <c r="K25" s="88"/>
    </row>
    <row r="26" spans="3:14">
      <c r="C26" s="89" t="s">
        <v>42</v>
      </c>
      <c r="D26" s="90"/>
      <c r="E26" s="85"/>
      <c r="F26" s="86"/>
      <c r="G26" s="85"/>
      <c r="H26" s="87"/>
      <c r="I26" s="86"/>
      <c r="J26" s="88"/>
      <c r="K26" s="88"/>
    </row>
    <row r="27" spans="3:14">
      <c r="C27" s="91" t="s">
        <v>43</v>
      </c>
      <c r="D27" s="91"/>
      <c r="E27" s="92"/>
      <c r="F27" s="93"/>
      <c r="G27" s="92"/>
      <c r="H27" s="94"/>
      <c r="I27" s="93"/>
      <c r="J27" s="95"/>
      <c r="K27" s="95"/>
    </row>
    <row r="28" spans="3:14">
      <c r="C28" s="72" t="s">
        <v>44</v>
      </c>
      <c r="D28" s="72"/>
      <c r="E28" s="85"/>
      <c r="F28" s="86"/>
      <c r="G28" s="85"/>
      <c r="H28" s="87"/>
      <c r="I28" s="86"/>
      <c r="J28" s="88"/>
      <c r="K28" s="88"/>
    </row>
    <row r="29" spans="3:14">
      <c r="C29" s="72" t="s">
        <v>45</v>
      </c>
      <c r="D29" s="72"/>
      <c r="E29" s="85"/>
      <c r="F29" s="86"/>
      <c r="G29" s="85"/>
      <c r="H29" s="87"/>
      <c r="I29" s="86"/>
      <c r="J29" s="88"/>
      <c r="K29" s="88"/>
    </row>
    <row r="30" spans="3:14">
      <c r="C30" s="72" t="s">
        <v>46</v>
      </c>
      <c r="D30" s="72"/>
      <c r="E30" s="85"/>
      <c r="F30" s="86"/>
      <c r="G30" s="85"/>
      <c r="H30" s="87"/>
      <c r="I30" s="86"/>
      <c r="J30" s="88"/>
      <c r="K30" s="88"/>
    </row>
    <row r="31" spans="3:14">
      <c r="C31" s="72" t="s">
        <v>47</v>
      </c>
      <c r="D31" s="72"/>
      <c r="E31" s="85"/>
      <c r="F31" s="86"/>
      <c r="G31" s="85"/>
      <c r="H31" s="87"/>
      <c r="I31" s="86"/>
      <c r="J31" s="88"/>
      <c r="K31" s="88"/>
    </row>
    <row r="32" spans="3:14">
      <c r="C32" s="72" t="s">
        <v>48</v>
      </c>
      <c r="D32" s="72"/>
      <c r="E32" s="85"/>
      <c r="F32" s="86"/>
      <c r="G32" s="85"/>
      <c r="H32" s="87"/>
      <c r="I32" s="86"/>
      <c r="J32" s="88"/>
      <c r="K32" s="88"/>
    </row>
    <row r="33" spans="3:11">
      <c r="C33" s="66"/>
      <c r="D33" s="66"/>
      <c r="E33" s="96"/>
      <c r="F33" s="96"/>
      <c r="G33" s="96"/>
      <c r="H33" s="97"/>
      <c r="I33" s="96"/>
      <c r="J33" s="98"/>
      <c r="K33" s="98"/>
    </row>
    <row r="34" spans="3:11">
      <c r="C34" s="99" t="s">
        <v>49</v>
      </c>
      <c r="D34" s="99"/>
      <c r="E34" s="100"/>
      <c r="F34" s="100"/>
      <c r="G34" s="100"/>
      <c r="H34" s="101"/>
      <c r="I34" s="100"/>
      <c r="J34" s="88"/>
      <c r="K34" s="88"/>
    </row>
    <row r="35" spans="3:11">
      <c r="C35" s="66"/>
      <c r="D35" s="66"/>
      <c r="E35" s="90" t="s">
        <v>50</v>
      </c>
      <c r="F35" s="60"/>
      <c r="G35" s="102"/>
      <c r="H35" s="103"/>
      <c r="I35" s="60"/>
      <c r="J35" s="104"/>
      <c r="K35" s="104"/>
    </row>
    <row r="36" spans="3:11">
      <c r="C36" s="66"/>
      <c r="D36" s="66"/>
      <c r="F36" s="106"/>
      <c r="G36" s="107"/>
      <c r="H36" s="108"/>
      <c r="I36" s="106"/>
      <c r="J36" s="98"/>
      <c r="K36" s="98"/>
    </row>
    <row r="37" spans="3:11">
      <c r="C37" s="69" t="s">
        <v>51</v>
      </c>
      <c r="D37" s="69"/>
      <c r="E37" s="109"/>
      <c r="F37" s="106"/>
      <c r="G37" s="107"/>
      <c r="H37" s="110"/>
      <c r="I37" s="66"/>
      <c r="J37" s="98"/>
      <c r="K37" s="98"/>
    </row>
    <row r="38" spans="3:11">
      <c r="C38" s="72" t="s">
        <v>52</v>
      </c>
      <c r="D38" s="72"/>
      <c r="E38" s="111"/>
      <c r="F38" s="86"/>
      <c r="G38" s="112"/>
      <c r="H38" s="87"/>
      <c r="I38" s="86"/>
      <c r="J38" s="88"/>
      <c r="K38" s="88"/>
    </row>
    <row r="39" spans="3:11">
      <c r="C39" s="72" t="s">
        <v>53</v>
      </c>
      <c r="D39" s="72"/>
      <c r="E39" s="85"/>
      <c r="F39" s="86"/>
      <c r="G39" s="85"/>
      <c r="H39" s="87"/>
      <c r="I39" s="86"/>
      <c r="J39" s="88"/>
      <c r="K39" s="88"/>
    </row>
    <row r="40" spans="3:11">
      <c r="C40" s="81" t="s">
        <v>54</v>
      </c>
      <c r="D40" s="81"/>
      <c r="E40" s="85"/>
      <c r="F40" s="86"/>
      <c r="G40" s="85"/>
      <c r="H40" s="87"/>
      <c r="I40" s="86"/>
      <c r="J40" s="88"/>
      <c r="K40" s="88"/>
    </row>
    <row r="41" spans="3:11">
      <c r="C41" s="81" t="s">
        <v>55</v>
      </c>
      <c r="D41" s="81"/>
      <c r="E41" s="85"/>
      <c r="F41" s="86"/>
      <c r="G41" s="85"/>
      <c r="H41" s="87"/>
      <c r="I41" s="86"/>
      <c r="J41" s="88"/>
      <c r="K41" s="88"/>
    </row>
    <row r="42" spans="3:11">
      <c r="C42" s="72" t="s">
        <v>56</v>
      </c>
      <c r="D42" s="72"/>
      <c r="E42" s="85"/>
      <c r="F42" s="86"/>
      <c r="G42" s="85"/>
      <c r="H42" s="87"/>
      <c r="I42" s="86"/>
      <c r="J42" s="88"/>
      <c r="K42" s="88"/>
    </row>
    <row r="43" spans="3:11">
      <c r="C43" s="72" t="s">
        <v>57</v>
      </c>
      <c r="D43" s="72"/>
      <c r="E43" s="85"/>
      <c r="F43" s="86"/>
      <c r="G43" s="96"/>
      <c r="H43" s="87"/>
      <c r="I43" s="86"/>
      <c r="J43" s="88"/>
      <c r="K43" s="88"/>
    </row>
    <row r="44" spans="3:11">
      <c r="C44" s="72" t="s">
        <v>58</v>
      </c>
      <c r="D44" s="72"/>
      <c r="E44" s="111"/>
      <c r="F44" s="86"/>
      <c r="G44" s="111"/>
      <c r="H44" s="87"/>
      <c r="I44" s="86"/>
      <c r="J44" s="88"/>
      <c r="K44" s="88"/>
    </row>
    <row r="45" spans="3:11">
      <c r="C45" s="81" t="s">
        <v>59</v>
      </c>
      <c r="D45" s="81"/>
      <c r="E45" s="111"/>
      <c r="F45" s="86"/>
      <c r="G45" s="111"/>
      <c r="H45" s="87"/>
      <c r="I45" s="86"/>
      <c r="J45" s="88"/>
      <c r="K45" s="88"/>
    </row>
    <row r="46" spans="3:11">
      <c r="C46" s="72" t="s">
        <v>60</v>
      </c>
      <c r="D46" s="72"/>
      <c r="E46" s="111"/>
      <c r="F46" s="86"/>
      <c r="G46" s="85"/>
      <c r="H46" s="87"/>
      <c r="I46" s="86"/>
      <c r="J46" s="88"/>
      <c r="K46" s="88"/>
    </row>
    <row r="47" spans="3:11">
      <c r="C47" s="72" t="s">
        <v>61</v>
      </c>
      <c r="D47" s="72"/>
      <c r="E47" s="85"/>
      <c r="F47" s="86"/>
      <c r="G47" s="85"/>
      <c r="H47" s="87"/>
      <c r="I47" s="86"/>
      <c r="J47" s="88"/>
      <c r="K47" s="88"/>
    </row>
    <row r="48" spans="3:11">
      <c r="C48" s="72" t="s">
        <v>62</v>
      </c>
      <c r="D48" s="72"/>
      <c r="E48" s="85"/>
      <c r="F48" s="86"/>
      <c r="G48" s="85"/>
      <c r="H48" s="87"/>
      <c r="I48" s="86"/>
      <c r="J48" s="88"/>
      <c r="K48" s="88"/>
    </row>
    <row r="49" spans="3:11">
      <c r="C49" s="72" t="s">
        <v>63</v>
      </c>
      <c r="D49" s="72"/>
      <c r="E49" s="85"/>
      <c r="F49" s="86"/>
      <c r="G49" s="113"/>
      <c r="H49" s="87"/>
      <c r="I49" s="86"/>
      <c r="J49" s="88"/>
      <c r="K49" s="88"/>
    </row>
    <row r="50" spans="3:11">
      <c r="C50" s="99" t="s">
        <v>64</v>
      </c>
      <c r="D50" s="99"/>
      <c r="E50" s="100"/>
      <c r="F50" s="100"/>
      <c r="G50" s="100"/>
      <c r="H50" s="101"/>
      <c r="I50" s="100"/>
      <c r="J50" s="88"/>
      <c r="K50" s="88"/>
    </row>
    <row r="51" spans="3:11">
      <c r="C51" s="81"/>
      <c r="D51" s="81"/>
      <c r="E51" s="114"/>
      <c r="F51" s="96"/>
      <c r="G51" s="114"/>
      <c r="H51" s="97"/>
      <c r="I51" s="96"/>
      <c r="J51" s="96"/>
      <c r="K51" s="96"/>
    </row>
    <row r="52" spans="3:11">
      <c r="C52" s="99" t="s">
        <v>65</v>
      </c>
      <c r="D52" s="99"/>
      <c r="E52" s="115"/>
      <c r="F52" s="115"/>
      <c r="G52" s="115"/>
      <c r="H52" s="116"/>
      <c r="I52" s="117"/>
      <c r="J52" s="88"/>
      <c r="K52" s="88"/>
    </row>
    <row r="53" spans="3:11">
      <c r="C53" s="81"/>
      <c r="D53" s="81"/>
      <c r="E53" s="114"/>
      <c r="F53" s="118"/>
      <c r="G53" s="119"/>
      <c r="H53" s="97"/>
      <c r="I53" s="118"/>
      <c r="J53" s="119"/>
      <c r="K53" s="119"/>
    </row>
    <row r="54" spans="3:11">
      <c r="C54" s="99" t="s">
        <v>66</v>
      </c>
      <c r="D54" s="99"/>
      <c r="E54" s="120"/>
      <c r="F54" s="120"/>
      <c r="G54" s="120"/>
      <c r="H54" s="101"/>
      <c r="I54" s="120"/>
      <c r="J54" s="88"/>
      <c r="K54" s="88"/>
    </row>
    <row r="55" spans="3:11">
      <c r="C55" s="99"/>
      <c r="D55" s="99"/>
      <c r="E55" s="121"/>
      <c r="F55" s="96"/>
      <c r="G55" s="121"/>
      <c r="H55" s="97"/>
      <c r="I55" s="96"/>
      <c r="J55" s="96"/>
      <c r="K55" s="96"/>
    </row>
    <row r="56" spans="3:11">
      <c r="C56" s="122" t="s">
        <v>67</v>
      </c>
      <c r="D56" s="122"/>
      <c r="E56" s="112"/>
      <c r="F56" s="86"/>
      <c r="G56" s="112"/>
      <c r="H56" s="87"/>
      <c r="I56" s="86"/>
      <c r="J56" s="88"/>
      <c r="K56" s="88"/>
    </row>
    <row r="57" spans="3:11">
      <c r="C57" s="122" t="s">
        <v>68</v>
      </c>
      <c r="D57" s="122"/>
      <c r="E57" s="112"/>
      <c r="F57" s="86"/>
      <c r="G57" s="112"/>
      <c r="H57" s="87"/>
      <c r="I57" s="86"/>
      <c r="J57" s="88"/>
      <c r="K57" s="88"/>
    </row>
    <row r="58" spans="3:11">
      <c r="C58" s="122" t="s">
        <v>69</v>
      </c>
      <c r="D58" s="122"/>
      <c r="E58" s="112"/>
      <c r="F58" s="86"/>
      <c r="G58" s="86"/>
      <c r="H58" s="87"/>
      <c r="I58" s="86"/>
      <c r="J58" s="88"/>
      <c r="K58" s="88"/>
    </row>
    <row r="59" spans="3:11">
      <c r="C59" s="122" t="s">
        <v>70</v>
      </c>
      <c r="D59" s="122"/>
      <c r="E59" s="123"/>
      <c r="F59" s="93"/>
      <c r="G59" s="93"/>
      <c r="H59" s="94"/>
      <c r="I59" s="94"/>
      <c r="J59" s="95"/>
      <c r="K59" s="95"/>
    </row>
    <row r="60" spans="3:11">
      <c r="C60" s="124" t="s">
        <v>71</v>
      </c>
      <c r="D60" s="124"/>
      <c r="E60" s="125"/>
      <c r="F60" s="125"/>
      <c r="G60" s="125"/>
      <c r="H60" s="101"/>
      <c r="I60" s="125"/>
      <c r="J60" s="88"/>
      <c r="K60" s="88"/>
    </row>
    <row r="61" spans="3:11">
      <c r="C61" s="99"/>
      <c r="D61" s="99"/>
      <c r="E61" s="126"/>
      <c r="F61" s="127"/>
      <c r="G61" s="128"/>
      <c r="H61" s="127"/>
      <c r="I61" s="127"/>
      <c r="J61" s="127"/>
      <c r="K61" s="127"/>
    </row>
    <row r="62" spans="3:11">
      <c r="C62" s="124" t="s">
        <v>72</v>
      </c>
      <c r="D62" s="124"/>
      <c r="E62" s="100"/>
      <c r="F62" s="100"/>
      <c r="G62" s="100"/>
      <c r="H62" s="100"/>
      <c r="I62" s="100"/>
      <c r="J62" s="88"/>
      <c r="K62" s="88"/>
    </row>
    <row r="63" spans="3:11">
      <c r="C63" s="66"/>
      <c r="D63" s="66"/>
      <c r="E63" s="66"/>
      <c r="F63" s="66"/>
      <c r="G63" s="66"/>
      <c r="H63" s="66"/>
      <c r="I63" s="129"/>
      <c r="J63" s="66"/>
      <c r="K63" s="66"/>
    </row>
    <row r="64" spans="3:11">
      <c r="C64" s="69" t="s">
        <v>73</v>
      </c>
      <c r="D64" s="69"/>
      <c r="E64" s="100"/>
      <c r="F64" s="100"/>
      <c r="G64" s="100"/>
      <c r="H64" s="100"/>
      <c r="I64" s="100"/>
      <c r="J64" s="100"/>
      <c r="K64" s="100"/>
    </row>
    <row r="65" spans="3:11">
      <c r="C65" s="69" t="s">
        <v>74</v>
      </c>
      <c r="D65" s="69"/>
      <c r="E65" s="100"/>
      <c r="F65" s="100"/>
      <c r="G65" s="100"/>
      <c r="H65" s="100"/>
      <c r="I65" s="100"/>
      <c r="J65" s="100"/>
      <c r="K65" s="100"/>
    </row>
    <row r="66" spans="3:11">
      <c r="C66" s="69" t="s">
        <v>75</v>
      </c>
      <c r="D66" s="69"/>
      <c r="E66" s="100"/>
      <c r="F66" s="100"/>
      <c r="G66" s="100"/>
      <c r="H66" s="100"/>
      <c r="I66" s="100"/>
      <c r="J66" s="100"/>
      <c r="K66" s="100"/>
    </row>
    <row r="67" spans="3:11">
      <c r="C67" s="69"/>
      <c r="D67" s="69"/>
      <c r="E67" s="130"/>
      <c r="F67" s="130"/>
      <c r="G67" s="130"/>
      <c r="H67" s="130"/>
      <c r="I67" s="130"/>
      <c r="J67" s="130"/>
      <c r="K67" s="130"/>
    </row>
    <row r="68" spans="3:11">
      <c r="C68" s="69" t="s">
        <v>76</v>
      </c>
      <c r="D68" s="69"/>
      <c r="E68" s="100"/>
      <c r="F68" s="100"/>
      <c r="G68" s="100"/>
      <c r="H68" s="100"/>
      <c r="I68" s="100"/>
      <c r="J68" s="88"/>
      <c r="K68" s="88"/>
    </row>
    <row r="69" spans="3:11">
      <c r="C69" s="69"/>
      <c r="D69" s="69"/>
      <c r="E69" s="127"/>
      <c r="F69" s="127"/>
      <c r="G69" s="127"/>
      <c r="H69" s="127"/>
      <c r="I69" s="127"/>
      <c r="J69" s="127"/>
      <c r="K69" s="127"/>
    </row>
    <row r="70" spans="3:11">
      <c r="C70" s="99" t="s">
        <v>77</v>
      </c>
      <c r="D70" s="99"/>
      <c r="E70" s="131"/>
      <c r="F70" s="131"/>
      <c r="G70" s="131"/>
      <c r="H70" s="131"/>
      <c r="I70" s="131"/>
      <c r="J70" s="88"/>
      <c r="K70" s="88"/>
    </row>
    <row r="71" spans="3:11">
      <c r="C71" s="99" t="s">
        <v>78</v>
      </c>
      <c r="D71" s="99"/>
      <c r="E71" s="131"/>
      <c r="F71" s="131"/>
      <c r="G71" s="131"/>
      <c r="H71" s="131"/>
      <c r="I71" s="131"/>
      <c r="J71" s="88"/>
      <c r="K71" s="88"/>
    </row>
    <row r="72" spans="3:11">
      <c r="C72" s="99" t="s">
        <v>79</v>
      </c>
      <c r="D72" s="99"/>
      <c r="E72" s="131"/>
      <c r="F72" s="131"/>
      <c r="G72" s="131"/>
      <c r="H72" s="131"/>
      <c r="I72" s="131"/>
      <c r="J72" s="88"/>
      <c r="K72" s="88"/>
    </row>
    <row r="73" spans="3:11">
      <c r="C73" s="66"/>
      <c r="D73" s="66"/>
      <c r="E73" s="132"/>
      <c r="F73" s="132"/>
      <c r="G73" s="132"/>
      <c r="H73" s="132"/>
      <c r="I73" s="132"/>
      <c r="J73" s="66"/>
      <c r="K73" s="66"/>
    </row>
    <row r="74" spans="3:11">
      <c r="C74" s="99" t="s">
        <v>80</v>
      </c>
      <c r="D74" s="99"/>
      <c r="E74" s="131"/>
      <c r="F74" s="131"/>
      <c r="G74" s="131"/>
      <c r="H74" s="131"/>
      <c r="I74" s="133"/>
      <c r="J74" s="88"/>
      <c r="K74" s="88"/>
    </row>
    <row r="75" spans="3:11">
      <c r="C75" s="99" t="s">
        <v>81</v>
      </c>
      <c r="D75" s="99"/>
      <c r="E75" s="131"/>
      <c r="F75" s="131"/>
      <c r="G75" s="131"/>
      <c r="H75" s="131"/>
      <c r="I75" s="134"/>
      <c r="J75" s="135"/>
      <c r="K75" s="135"/>
    </row>
    <row r="76" spans="3:11">
      <c r="C76" s="99" t="s">
        <v>82</v>
      </c>
      <c r="D76" s="99"/>
      <c r="E76" s="131"/>
      <c r="F76" s="131"/>
      <c r="G76" s="131"/>
      <c r="H76" s="131"/>
      <c r="I76" s="133"/>
      <c r="J76" s="88"/>
      <c r="K76" s="88"/>
    </row>
    <row r="77" spans="3:11" collapsed="1">
      <c r="C77" s="99"/>
      <c r="D77" s="99"/>
      <c r="E77" s="133"/>
      <c r="F77" s="133"/>
      <c r="G77" s="133"/>
      <c r="H77" s="133"/>
      <c r="I77" s="127"/>
      <c r="J77" s="140"/>
      <c r="K77" s="147"/>
    </row>
    <row r="78" spans="3:11">
      <c r="C78" s="99" t="s">
        <v>93</v>
      </c>
      <c r="D78" s="99"/>
      <c r="E78" s="144"/>
      <c r="F78" s="133"/>
      <c r="G78" s="133"/>
      <c r="H78" s="133"/>
      <c r="I78" s="143" t="e">
        <f>I54/$E$6</f>
        <v>#DIV/0!</v>
      </c>
      <c r="J78" s="145" t="e">
        <f>J56/E11</f>
        <v>#DIV/0!</v>
      </c>
      <c r="K78" s="148">
        <v>0.06</v>
      </c>
    </row>
    <row r="79" spans="3:11">
      <c r="C79" s="99"/>
      <c r="D79" s="99"/>
      <c r="E79" s="130"/>
      <c r="F79" s="130"/>
      <c r="G79" s="130"/>
      <c r="H79" s="130"/>
      <c r="I79" s="130"/>
      <c r="J79" s="130"/>
      <c r="K79" s="130"/>
    </row>
    <row r="80" spans="3:11">
      <c r="C80" s="119" t="s">
        <v>83</v>
      </c>
      <c r="D80" s="119"/>
      <c r="E80" s="73"/>
      <c r="F80" s="73"/>
      <c r="G80" s="73"/>
      <c r="H80" s="73"/>
      <c r="I80" s="73"/>
      <c r="J80" s="66"/>
      <c r="K80" s="66"/>
    </row>
    <row r="81" spans="3:11" ht="13.5" thickBot="1">
      <c r="C81" s="136"/>
      <c r="D81" s="136"/>
      <c r="E81" s="137" t="s">
        <v>84</v>
      </c>
      <c r="F81" s="138"/>
      <c r="G81" s="138"/>
      <c r="H81" s="138"/>
      <c r="I81" s="138"/>
      <c r="J81" s="138"/>
      <c r="K81" s="138"/>
    </row>
    <row r="82" spans="3:11">
      <c r="C82" s="124" t="s">
        <v>85</v>
      </c>
      <c r="D82" s="124"/>
      <c r="E82" s="66"/>
      <c r="F82" s="66"/>
      <c r="G82" s="66"/>
      <c r="H82" s="66"/>
      <c r="I82" s="66"/>
      <c r="J82" s="66"/>
      <c r="K82" s="66"/>
    </row>
    <row r="83" spans="3:11">
      <c r="C83" s="139" t="s">
        <v>86</v>
      </c>
      <c r="D83" s="139"/>
      <c r="E83" s="66"/>
      <c r="F83" s="66"/>
      <c r="G83" s="66"/>
      <c r="H83" s="66"/>
      <c r="I83" s="66"/>
      <c r="J83" s="69"/>
      <c r="K83" s="69"/>
    </row>
    <row r="84" spans="3:11">
      <c r="C84" s="24" t="s">
        <v>87</v>
      </c>
      <c r="D84" s="24"/>
      <c r="E84" s="66"/>
      <c r="F84" s="66"/>
      <c r="G84" s="66"/>
      <c r="H84" s="66"/>
      <c r="I84" s="66"/>
      <c r="J84" s="66"/>
      <c r="K84" s="66"/>
    </row>
  </sheetData>
  <mergeCells count="2">
    <mergeCell ref="C1:J1"/>
    <mergeCell ref="H4:I4"/>
  </mergeCells>
  <conditionalFormatting sqref="I78:J78">
    <cfRule type="cellIs" dxfId="5" priority="1" operator="lessThan">
      <formula>$K$73</formula>
    </cfRule>
  </conditionalFormatting>
  <pageMargins left="0.75" right="0.25" top="0.5" bottom="0.63" header="0.5" footer="0.32"/>
  <pageSetup scale="64" firstPageNumber="75" orientation="portrait" useFirstPageNumber="1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063C-DA8F-4E98-8B69-CB63EB4D4842}">
  <dimension ref="A1:BA141"/>
  <sheetViews>
    <sheetView showGridLines="0" topLeftCell="F20" zoomScale="115" zoomScaleNormal="115" workbookViewId="0">
      <selection activeCell="R53" sqref="R53"/>
    </sheetView>
  </sheetViews>
  <sheetFormatPr defaultColWidth="9.140625" defaultRowHeight="12.75"/>
  <cols>
    <col min="1" max="1" width="43.28515625" style="405" customWidth="1"/>
    <col min="2" max="2" width="42.5703125" style="160" customWidth="1"/>
    <col min="3" max="10" width="12.7109375" style="160" customWidth="1"/>
    <col min="11" max="11" width="13.140625" style="160" customWidth="1"/>
    <col min="12" max="14" width="12.7109375" style="160" customWidth="1"/>
    <col min="15" max="15" width="12.85546875" style="160" bestFit="1" customWidth="1"/>
    <col min="16" max="16" width="12.85546875" style="160" customWidth="1"/>
    <col min="17" max="19" width="23.28515625" style="160" customWidth="1"/>
    <col min="20" max="21" width="11.5703125" style="160" customWidth="1"/>
    <col min="22" max="22" width="40.7109375" style="160" customWidth="1"/>
    <col min="23" max="24" width="21.42578125" style="160" customWidth="1"/>
    <col min="25" max="25" width="11.7109375" style="160" bestFit="1" customWidth="1"/>
    <col min="26" max="27" width="9.140625" style="160"/>
    <col min="28" max="28" width="41.42578125" style="160" customWidth="1"/>
    <col min="29" max="29" width="43.42578125" style="160" customWidth="1"/>
    <col min="30" max="40" width="12.42578125" style="160" customWidth="1"/>
    <col min="41" max="16384" width="9.140625" style="160"/>
  </cols>
  <sheetData>
    <row r="1" spans="1:53">
      <c r="A1" s="404"/>
      <c r="B1" s="465" t="s">
        <v>105</v>
      </c>
      <c r="AD1" s="275"/>
      <c r="AE1" s="275"/>
      <c r="AF1" s="275"/>
      <c r="AG1" s="275"/>
      <c r="AH1" s="275"/>
      <c r="AI1" s="275"/>
      <c r="AJ1" s="275"/>
      <c r="AK1" s="275"/>
      <c r="AL1" s="275"/>
      <c r="AM1" s="275"/>
      <c r="AN1" s="275"/>
      <c r="AO1" s="275"/>
      <c r="AP1" s="275"/>
      <c r="AQ1" s="275"/>
      <c r="AR1" s="275"/>
      <c r="AS1" s="275"/>
      <c r="AT1" s="275"/>
      <c r="AU1" s="275"/>
      <c r="AV1" s="275"/>
      <c r="AW1" s="275"/>
      <c r="AX1" s="275"/>
      <c r="AY1" s="275"/>
      <c r="AZ1" s="275"/>
      <c r="BA1" s="275"/>
    </row>
    <row r="2" spans="1:53">
      <c r="B2" s="465" t="s">
        <v>105</v>
      </c>
    </row>
    <row r="3" spans="1:53">
      <c r="B3" s="482" t="s">
        <v>2069</v>
      </c>
    </row>
    <row r="4" spans="1:53">
      <c r="B4" s="482" t="s">
        <v>542</v>
      </c>
    </row>
    <row r="5" spans="1:53" ht="20.25">
      <c r="B5" s="465" t="s">
        <v>105</v>
      </c>
      <c r="Q5"/>
      <c r="R5"/>
      <c r="S5"/>
      <c r="T5"/>
      <c r="U5"/>
      <c r="V5"/>
      <c r="W5"/>
      <c r="X5"/>
      <c r="Y5"/>
      <c r="Z5"/>
      <c r="AC5" s="335" t="s">
        <v>1727</v>
      </c>
      <c r="AD5" s="33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Z5" s="275"/>
    </row>
    <row r="6" spans="1:53" ht="15.75">
      <c r="B6" s="543" t="s">
        <v>2070</v>
      </c>
      <c r="C6" s="543"/>
      <c r="D6" s="543"/>
      <c r="E6" s="543"/>
      <c r="F6" s="543"/>
      <c r="G6" s="543"/>
      <c r="H6" s="543"/>
      <c r="I6" s="543"/>
      <c r="J6" s="543"/>
      <c r="K6" s="543"/>
      <c r="L6" s="543"/>
      <c r="M6" s="543"/>
      <c r="N6" s="543"/>
      <c r="O6" s="543"/>
      <c r="Q6"/>
      <c r="R6"/>
      <c r="S6"/>
      <c r="T6"/>
      <c r="U6"/>
      <c r="V6"/>
      <c r="W6"/>
      <c r="X6"/>
      <c r="Y6"/>
      <c r="Z6"/>
      <c r="AC6" s="306" t="s">
        <v>542</v>
      </c>
      <c r="AD6" s="306"/>
      <c r="AE6" s="275"/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5"/>
      <c r="AS6" s="275"/>
      <c r="AT6" s="275"/>
      <c r="AU6" s="275"/>
      <c r="AV6" s="275"/>
      <c r="AW6" s="275"/>
      <c r="AX6" s="275"/>
      <c r="AY6" s="275"/>
      <c r="AZ6" s="275"/>
      <c r="BA6" s="275"/>
    </row>
    <row r="7" spans="1:53" ht="15.75">
      <c r="B7" s="543" t="s">
        <v>545</v>
      </c>
      <c r="C7" s="543"/>
      <c r="D7" s="543"/>
      <c r="E7" s="543"/>
      <c r="F7" s="543"/>
      <c r="G7" s="543"/>
      <c r="H7" s="543"/>
      <c r="I7" s="543"/>
      <c r="J7" s="543"/>
      <c r="K7" s="543"/>
      <c r="L7" s="543"/>
      <c r="M7" s="543"/>
      <c r="N7" s="543"/>
      <c r="O7" s="543"/>
      <c r="Q7" s="394"/>
      <c r="R7" s="395"/>
      <c r="S7" s="395"/>
      <c r="T7" s="395"/>
      <c r="U7" s="395"/>
      <c r="V7" s="395"/>
      <c r="W7" s="395"/>
      <c r="X7" s="395"/>
      <c r="Y7" s="395"/>
      <c r="Z7"/>
      <c r="AC7" s="307" t="s">
        <v>327</v>
      </c>
      <c r="AD7" s="540" t="s">
        <v>1761</v>
      </c>
      <c r="AE7" s="315">
        <v>1</v>
      </c>
      <c r="AF7" s="315">
        <v>2</v>
      </c>
      <c r="AG7" s="315">
        <v>3</v>
      </c>
      <c r="AH7" s="315">
        <v>4</v>
      </c>
      <c r="AI7" s="315">
        <v>5</v>
      </c>
      <c r="AJ7" s="315">
        <v>6</v>
      </c>
      <c r="AK7" s="315">
        <v>7</v>
      </c>
      <c r="AL7" s="315">
        <v>8</v>
      </c>
      <c r="AM7" s="315">
        <v>9</v>
      </c>
      <c r="AN7" s="316">
        <v>10</v>
      </c>
      <c r="AZ7" s="275"/>
    </row>
    <row r="8" spans="1:53" ht="15">
      <c r="B8" s="161" t="s">
        <v>103</v>
      </c>
      <c r="C8" s="539" t="s">
        <v>284</v>
      </c>
      <c r="D8" s="539"/>
      <c r="E8" s="539"/>
      <c r="F8" s="539"/>
      <c r="G8" s="539"/>
      <c r="H8" s="539"/>
      <c r="I8" s="539"/>
      <c r="J8" s="539"/>
      <c r="K8" s="539"/>
      <c r="L8" s="539"/>
      <c r="M8" s="539"/>
      <c r="N8" s="539"/>
      <c r="O8" s="539"/>
      <c r="Q8" s="396"/>
      <c r="R8" s="397"/>
      <c r="S8" s="397"/>
      <c r="T8" s="397"/>
      <c r="U8" s="397"/>
      <c r="V8" s="397"/>
      <c r="W8" s="397"/>
      <c r="X8" s="397"/>
      <c r="Y8" s="397"/>
      <c r="Z8"/>
      <c r="AC8" s="308" t="s">
        <v>328</v>
      </c>
      <c r="AD8" s="541"/>
      <c r="AE8" s="317">
        <v>46173</v>
      </c>
      <c r="AF8" s="317">
        <v>46538</v>
      </c>
      <c r="AG8" s="317">
        <v>46904</v>
      </c>
      <c r="AH8" s="317">
        <v>47269</v>
      </c>
      <c r="AI8" s="317">
        <v>47634</v>
      </c>
      <c r="AJ8" s="317">
        <v>47999</v>
      </c>
      <c r="AK8" s="317">
        <v>48365</v>
      </c>
      <c r="AL8" s="317">
        <v>48730</v>
      </c>
      <c r="AM8" s="317">
        <v>49095</v>
      </c>
      <c r="AN8" s="318">
        <v>49460</v>
      </c>
    </row>
    <row r="9" spans="1:53" ht="15">
      <c r="B9" s="161" t="s">
        <v>104</v>
      </c>
      <c r="C9" s="539" t="s">
        <v>2071</v>
      </c>
      <c r="D9" s="539"/>
      <c r="E9" s="539"/>
      <c r="F9" s="539"/>
      <c r="G9" s="539"/>
      <c r="H9" s="539"/>
      <c r="I9" s="539"/>
      <c r="J9" s="539"/>
      <c r="K9" s="539"/>
      <c r="L9" s="539"/>
      <c r="M9" s="539"/>
      <c r="N9" s="539"/>
      <c r="O9" s="539"/>
      <c r="Q9" s="196"/>
      <c r="R9" s="398"/>
      <c r="S9" s="398"/>
      <c r="T9" s="398"/>
      <c r="U9" s="398"/>
      <c r="V9" s="398"/>
      <c r="W9" s="398"/>
      <c r="X9" s="398"/>
      <c r="Y9" s="398"/>
      <c r="Z9"/>
      <c r="AC9" s="309"/>
      <c r="AD9" s="336"/>
      <c r="AE9" s="319"/>
      <c r="AF9" s="319"/>
      <c r="AG9" s="319"/>
      <c r="AH9" s="319"/>
      <c r="AI9" s="319"/>
      <c r="AJ9" s="319"/>
      <c r="AK9" s="319"/>
      <c r="AL9" s="319"/>
      <c r="AM9" s="319"/>
      <c r="AN9" s="320"/>
    </row>
    <row r="10" spans="1:53" ht="15">
      <c r="B10" s="542" t="s">
        <v>105</v>
      </c>
      <c r="C10" s="542"/>
      <c r="D10" s="542"/>
      <c r="E10" s="542"/>
      <c r="F10" s="542"/>
      <c r="G10" s="542"/>
      <c r="H10" s="542"/>
      <c r="I10" s="542"/>
      <c r="J10" s="542"/>
      <c r="K10" s="542"/>
      <c r="L10" s="542"/>
      <c r="M10" s="542"/>
      <c r="N10" s="542"/>
      <c r="O10" s="542"/>
      <c r="Q10" s="196"/>
      <c r="R10" s="276"/>
      <c r="S10" s="276"/>
      <c r="T10" s="276"/>
      <c r="U10" s="276"/>
      <c r="V10" s="276"/>
      <c r="W10" s="276"/>
      <c r="X10" s="276"/>
      <c r="Y10" s="276"/>
      <c r="Z10"/>
      <c r="AC10" s="310" t="s">
        <v>1728</v>
      </c>
      <c r="AD10" s="337" t="s">
        <v>1762</v>
      </c>
      <c r="AE10" s="321"/>
      <c r="AF10" s="321"/>
      <c r="AG10" s="321"/>
      <c r="AH10" s="321"/>
      <c r="AI10" s="321"/>
      <c r="AJ10" s="321"/>
      <c r="AK10" s="321"/>
      <c r="AL10" s="321"/>
      <c r="AM10" s="321"/>
      <c r="AN10" s="322"/>
    </row>
    <row r="11" spans="1:53" ht="15">
      <c r="B11" s="161" t="s">
        <v>105</v>
      </c>
      <c r="C11" s="281" t="s">
        <v>106</v>
      </c>
      <c r="D11" s="281" t="s">
        <v>106</v>
      </c>
      <c r="E11" s="281" t="s">
        <v>106</v>
      </c>
      <c r="F11" s="281" t="s">
        <v>106</v>
      </c>
      <c r="G11" s="281" t="s">
        <v>106</v>
      </c>
      <c r="H11" s="281" t="s">
        <v>106</v>
      </c>
      <c r="I11" s="281" t="s">
        <v>106</v>
      </c>
      <c r="J11" s="281" t="s">
        <v>106</v>
      </c>
      <c r="K11" s="281" t="s">
        <v>106</v>
      </c>
      <c r="L11" s="281" t="s">
        <v>106</v>
      </c>
      <c r="M11" s="281" t="s">
        <v>106</v>
      </c>
      <c r="N11" s="281" t="s">
        <v>106</v>
      </c>
      <c r="O11" s="281" t="s">
        <v>546</v>
      </c>
      <c r="T11" s="221"/>
      <c r="U11" s="221"/>
      <c r="Y11" s="221"/>
      <c r="Z11"/>
      <c r="AC11" s="311" t="s">
        <v>1729</v>
      </c>
      <c r="AD11" s="338">
        <v>8474518.9733003657</v>
      </c>
      <c r="AE11" s="323">
        <v>8357667.1135183079</v>
      </c>
      <c r="AF11" s="323">
        <v>8579313.5413526371</v>
      </c>
      <c r="AG11" s="323">
        <v>8960894.6900365185</v>
      </c>
      <c r="AH11" s="323">
        <v>9318313.1755838413</v>
      </c>
      <c r="AI11" s="323">
        <v>9674923.8973552715</v>
      </c>
      <c r="AJ11" s="323">
        <v>9995970.4752229974</v>
      </c>
      <c r="AK11" s="323">
        <v>10295849.5894797</v>
      </c>
      <c r="AL11" s="323">
        <v>10604725.077164102</v>
      </c>
      <c r="AM11" s="323">
        <v>10922866.829479037</v>
      </c>
      <c r="AN11" s="324">
        <v>11250552.83436342</v>
      </c>
    </row>
    <row r="12" spans="1:53" ht="15">
      <c r="B12" s="161" t="s">
        <v>105</v>
      </c>
      <c r="C12" s="282" t="s">
        <v>497</v>
      </c>
      <c r="D12" s="282" t="s">
        <v>493</v>
      </c>
      <c r="E12" s="282" t="s">
        <v>362</v>
      </c>
      <c r="F12" s="282" t="s">
        <v>1089</v>
      </c>
      <c r="G12" s="282" t="s">
        <v>1788</v>
      </c>
      <c r="H12" s="282" t="s">
        <v>1787</v>
      </c>
      <c r="I12" s="282" t="s">
        <v>1905</v>
      </c>
      <c r="J12" s="282" t="s">
        <v>1404</v>
      </c>
      <c r="K12" s="282" t="s">
        <v>1928</v>
      </c>
      <c r="L12" s="282" t="s">
        <v>2072</v>
      </c>
      <c r="M12" s="282" t="s">
        <v>2073</v>
      </c>
      <c r="N12" s="282" t="s">
        <v>2071</v>
      </c>
      <c r="O12" s="282" t="s">
        <v>2071</v>
      </c>
      <c r="T12" s="399"/>
      <c r="U12" s="399"/>
      <c r="Y12" s="221"/>
      <c r="Z12"/>
      <c r="AC12" s="309" t="s">
        <v>1730</v>
      </c>
      <c r="AD12" s="319">
        <v>0</v>
      </c>
      <c r="AE12" s="325">
        <v>33125.695990793014</v>
      </c>
      <c r="AF12" s="325">
        <v>-103648.36127556162</v>
      </c>
      <c r="AG12" s="325">
        <v>-153090.97998926486</v>
      </c>
      <c r="AH12" s="325">
        <v>-156337.07673994498</v>
      </c>
      <c r="AI12" s="325">
        <v>-147550.62539172039</v>
      </c>
      <c r="AJ12" s="325">
        <v>-121551.91660570315</v>
      </c>
      <c r="AK12" s="325">
        <v>-111673.93320005116</v>
      </c>
      <c r="AL12" s="325">
        <v>-110350.84311989875</v>
      </c>
      <c r="AM12" s="325">
        <v>-108988.06033734261</v>
      </c>
      <c r="AN12" s="326">
        <v>-107584.39407130814</v>
      </c>
    </row>
    <row r="13" spans="1:53" ht="15">
      <c r="B13" s="283" t="s">
        <v>105</v>
      </c>
      <c r="C13" s="284" t="s">
        <v>547</v>
      </c>
      <c r="D13" s="284" t="s">
        <v>547</v>
      </c>
      <c r="E13" s="284" t="s">
        <v>547</v>
      </c>
      <c r="F13" s="284" t="s">
        <v>547</v>
      </c>
      <c r="G13" s="284" t="s">
        <v>547</v>
      </c>
      <c r="H13" s="284" t="s">
        <v>547</v>
      </c>
      <c r="I13" s="284" t="s">
        <v>547</v>
      </c>
      <c r="J13" s="284" t="s">
        <v>547</v>
      </c>
      <c r="K13" s="284" t="s">
        <v>547</v>
      </c>
      <c r="L13" s="284" t="s">
        <v>547</v>
      </c>
      <c r="M13" s="284" t="s">
        <v>547</v>
      </c>
      <c r="N13" s="284" t="s">
        <v>547</v>
      </c>
      <c r="O13" s="284" t="s">
        <v>547</v>
      </c>
      <c r="T13" s="400"/>
      <c r="U13" s="400"/>
      <c r="Y13" s="222"/>
      <c r="Z13"/>
      <c r="AC13" s="312" t="s">
        <v>1731</v>
      </c>
      <c r="AD13" s="333">
        <v>8474518.9733003657</v>
      </c>
      <c r="AE13" s="327">
        <v>8390792.8095091004</v>
      </c>
      <c r="AF13" s="327">
        <v>8475665.1800770741</v>
      </c>
      <c r="AG13" s="327">
        <v>8807803.7100472506</v>
      </c>
      <c r="AH13" s="327">
        <v>9161976.0988438968</v>
      </c>
      <c r="AI13" s="327">
        <v>9527373.2719635498</v>
      </c>
      <c r="AJ13" s="327">
        <v>9874418.5586172938</v>
      </c>
      <c r="AK13" s="327">
        <v>10184175.65627965</v>
      </c>
      <c r="AL13" s="327">
        <v>10494374.234044204</v>
      </c>
      <c r="AM13" s="327">
        <v>10813878.769141695</v>
      </c>
      <c r="AN13" s="328">
        <v>11142968.440292113</v>
      </c>
    </row>
    <row r="14" spans="1:53">
      <c r="B14" s="161" t="s">
        <v>548</v>
      </c>
      <c r="C14" s="161" t="s">
        <v>107</v>
      </c>
      <c r="D14" s="161" t="s">
        <v>107</v>
      </c>
      <c r="E14" s="161" t="s">
        <v>107</v>
      </c>
      <c r="F14" s="161" t="s">
        <v>107</v>
      </c>
      <c r="G14" s="161" t="s">
        <v>107</v>
      </c>
      <c r="H14" s="161" t="s">
        <v>107</v>
      </c>
      <c r="I14" s="161" t="s">
        <v>107</v>
      </c>
      <c r="J14" s="161" t="s">
        <v>107</v>
      </c>
      <c r="K14" s="161" t="s">
        <v>107</v>
      </c>
      <c r="L14" s="161" t="s">
        <v>107</v>
      </c>
      <c r="M14" s="161" t="s">
        <v>107</v>
      </c>
      <c r="N14" s="161" t="s">
        <v>107</v>
      </c>
      <c r="O14" s="161" t="s">
        <v>107</v>
      </c>
      <c r="T14"/>
      <c r="U14"/>
      <c r="Y14"/>
      <c r="Z14"/>
      <c r="AC14" s="309" t="s">
        <v>1732</v>
      </c>
      <c r="AD14" s="319">
        <v>1242919.25</v>
      </c>
      <c r="AE14" s="325">
        <v>1220508</v>
      </c>
      <c r="AF14" s="325">
        <v>1503810.2999999998</v>
      </c>
      <c r="AG14" s="325">
        <v>1640643.9075</v>
      </c>
      <c r="AH14" s="325">
        <v>1679333.4565874992</v>
      </c>
      <c r="AI14" s="325">
        <v>1718943.713430187</v>
      </c>
      <c r="AJ14" s="325">
        <v>1759496.765102501</v>
      </c>
      <c r="AK14" s="325">
        <v>1801015.2322433554</v>
      </c>
      <c r="AL14" s="325">
        <v>1843522.2820229956</v>
      </c>
      <c r="AM14" s="325">
        <v>1887041.6414265994</v>
      </c>
      <c r="AN14" s="326">
        <v>1931597.6108623527</v>
      </c>
    </row>
    <row r="15" spans="1:53">
      <c r="B15" s="539" t="s">
        <v>105</v>
      </c>
      <c r="C15" s="539"/>
      <c r="D15" s="539"/>
      <c r="E15" s="539"/>
      <c r="F15" s="539"/>
      <c r="G15" s="539"/>
      <c r="H15" s="539"/>
      <c r="I15" s="539"/>
      <c r="J15" s="539"/>
      <c r="K15" s="539"/>
      <c r="L15" s="539"/>
      <c r="M15" s="539"/>
      <c r="N15" s="539"/>
      <c r="O15" s="539"/>
      <c r="T15"/>
      <c r="U15"/>
      <c r="Y15"/>
      <c r="Z15"/>
      <c r="AB15" s="274"/>
      <c r="AC15" s="312" t="s">
        <v>1733</v>
      </c>
      <c r="AD15" s="333">
        <v>9717438.2233003657</v>
      </c>
      <c r="AE15" s="327">
        <v>9611300.8095091004</v>
      </c>
      <c r="AF15" s="327">
        <v>9979475.480077073</v>
      </c>
      <c r="AG15" s="327">
        <v>10448447.617547251</v>
      </c>
      <c r="AH15" s="327">
        <v>10841309.555431396</v>
      </c>
      <c r="AI15" s="327">
        <v>11246316.985393737</v>
      </c>
      <c r="AJ15" s="327">
        <v>11633915.323719796</v>
      </c>
      <c r="AK15" s="327">
        <v>11985190.888523005</v>
      </c>
      <c r="AL15" s="327">
        <v>12337896.516067199</v>
      </c>
      <c r="AM15" s="327">
        <v>12700920.410568293</v>
      </c>
      <c r="AN15" s="328">
        <v>13074566.051154464</v>
      </c>
    </row>
    <row r="16" spans="1:53" ht="15">
      <c r="B16" s="161" t="s">
        <v>549</v>
      </c>
      <c r="C16" s="161" t="s">
        <v>108</v>
      </c>
      <c r="D16" s="161" t="s">
        <v>108</v>
      </c>
      <c r="E16" s="161" t="s">
        <v>108</v>
      </c>
      <c r="F16" s="161" t="s">
        <v>108</v>
      </c>
      <c r="G16" s="161" t="s">
        <v>108</v>
      </c>
      <c r="H16" s="161" t="s">
        <v>108</v>
      </c>
      <c r="I16" s="161" t="s">
        <v>108</v>
      </c>
      <c r="J16" s="161" t="s">
        <v>108</v>
      </c>
      <c r="K16" s="161" t="s">
        <v>108</v>
      </c>
      <c r="L16" s="161" t="s">
        <v>108</v>
      </c>
      <c r="M16" s="161" t="s">
        <v>108</v>
      </c>
      <c r="N16" s="161" t="s">
        <v>108</v>
      </c>
      <c r="O16" s="161" t="s">
        <v>108</v>
      </c>
      <c r="Q16" s="402" t="s">
        <v>2059</v>
      </c>
      <c r="R16" s="397" t="s">
        <v>2060</v>
      </c>
      <c r="S16" s="397" t="s">
        <v>2061</v>
      </c>
      <c r="T16"/>
      <c r="U16"/>
      <c r="V16" s="403">
        <v>46022</v>
      </c>
      <c r="W16" s="403" t="s">
        <v>2062</v>
      </c>
      <c r="X16" s="214" t="s">
        <v>2063</v>
      </c>
      <c r="Y16"/>
      <c r="Z16"/>
      <c r="AB16" s="289"/>
      <c r="AC16" s="311" t="s">
        <v>1734</v>
      </c>
      <c r="AD16" s="338">
        <v>-499996.61942472158</v>
      </c>
      <c r="AE16" s="323">
        <v>-461493.60452300042</v>
      </c>
      <c r="AF16" s="323">
        <v>-466161.58490423911</v>
      </c>
      <c r="AG16" s="323">
        <v>-484429.20405259886</v>
      </c>
      <c r="AH16" s="323">
        <v>-503908.68543641444</v>
      </c>
      <c r="AI16" s="323">
        <v>-524005.5299579954</v>
      </c>
      <c r="AJ16" s="323">
        <v>-543093.02072395117</v>
      </c>
      <c r="AK16" s="323">
        <v>-560129.66109538067</v>
      </c>
      <c r="AL16" s="323">
        <v>-577190.58287243114</v>
      </c>
      <c r="AM16" s="323">
        <v>-594763.33230279316</v>
      </c>
      <c r="AN16" s="324">
        <v>-612863.26421606611</v>
      </c>
    </row>
    <row r="17" spans="1:40" ht="15">
      <c r="A17" s="405" t="s">
        <v>41</v>
      </c>
      <c r="B17" s="161" t="s">
        <v>550</v>
      </c>
      <c r="C17" s="285">
        <v>710972.5</v>
      </c>
      <c r="D17" s="285">
        <v>709919.04</v>
      </c>
      <c r="E17" s="285">
        <v>709165.83</v>
      </c>
      <c r="F17" s="285">
        <v>707103.39</v>
      </c>
      <c r="G17" s="285">
        <v>706700.48</v>
      </c>
      <c r="H17" s="285">
        <v>706373.63</v>
      </c>
      <c r="I17" s="285">
        <v>707219.04</v>
      </c>
      <c r="J17" s="285">
        <v>658440</v>
      </c>
      <c r="K17" s="285">
        <v>657027.42000000004</v>
      </c>
      <c r="L17" s="285">
        <v>677622.1</v>
      </c>
      <c r="M17" s="285">
        <v>692639.3</v>
      </c>
      <c r="N17" s="285">
        <v>692640</v>
      </c>
      <c r="O17" s="285">
        <v>8335822.7300000004</v>
      </c>
      <c r="Q17" s="406">
        <f>IF(SUM(C17:N17)=0,0,SUM(C17:N17))</f>
        <v>8335822.7299999995</v>
      </c>
      <c r="R17" s="406">
        <f>IF(Q17=0,0,SUM(I17:N17)*2)</f>
        <v>8171175.7200000007</v>
      </c>
      <c r="S17" s="406">
        <f>IF(Q17=0,0,SUM(L17:N17)*4)</f>
        <v>8251605.5999999996</v>
      </c>
      <c r="T17" s="401"/>
      <c r="U17" s="401"/>
      <c r="V17" s="72" t="s">
        <v>41</v>
      </c>
      <c r="W17" s="406">
        <f>SUMIF(A:A,$V17,O:O)</f>
        <v>7969528.6600000001</v>
      </c>
      <c r="X17" s="399"/>
      <c r="Y17"/>
      <c r="Z17"/>
      <c r="AB17" s="287"/>
      <c r="AC17" s="311" t="s">
        <v>1735</v>
      </c>
      <c r="AD17" s="338">
        <v>-114839.30999999998</v>
      </c>
      <c r="AE17" s="323">
        <v>-125861.8921426365</v>
      </c>
      <c r="AF17" s="323">
        <v>-105945.81475096343</v>
      </c>
      <c r="AG17" s="323">
        <v>-88078.037100472517</v>
      </c>
      <c r="AH17" s="323">
        <v>-91619.760988438953</v>
      </c>
      <c r="AI17" s="323">
        <v>-95273.732719635518</v>
      </c>
      <c r="AJ17" s="323">
        <v>-98744.185586172971</v>
      </c>
      <c r="AK17" s="323">
        <v>-101841.75656279649</v>
      </c>
      <c r="AL17" s="323">
        <v>-104943.74234044204</v>
      </c>
      <c r="AM17" s="323">
        <v>-108138.78769141693</v>
      </c>
      <c r="AN17" s="324">
        <v>-111429.68440292111</v>
      </c>
    </row>
    <row r="18" spans="1:40" ht="15">
      <c r="A18" s="405" t="s">
        <v>42</v>
      </c>
      <c r="B18" s="161" t="s">
        <v>551</v>
      </c>
      <c r="C18" s="285">
        <v>-2799.58</v>
      </c>
      <c r="D18" s="285">
        <v>-2650.15</v>
      </c>
      <c r="E18" s="285">
        <v>-2687.68</v>
      </c>
      <c r="F18" s="285">
        <v>-4409.17</v>
      </c>
      <c r="G18" s="285">
        <v>-3076.69</v>
      </c>
      <c r="H18" s="285">
        <v>-5544.37</v>
      </c>
      <c r="I18" s="285">
        <v>-5613.39</v>
      </c>
      <c r="J18" s="285">
        <v>37972.639999999999</v>
      </c>
      <c r="K18" s="285">
        <v>37968.9</v>
      </c>
      <c r="L18" s="285">
        <v>18710.7</v>
      </c>
      <c r="M18" s="285">
        <v>3754.9</v>
      </c>
      <c r="N18" s="285">
        <v>3279.74</v>
      </c>
      <c r="O18" s="285">
        <v>74905.850000000006</v>
      </c>
      <c r="Q18" s="407">
        <f t="shared" ref="Q18:Q23" si="0">IF(SUM(C18:N18)=0,0,SUM(C18:N18))</f>
        <v>74905.850000000006</v>
      </c>
      <c r="R18" s="408">
        <f t="shared" ref="R18:R23" si="1">IF(Q18=0,0,SUM(I18:N18)*2)</f>
        <v>192146.97999999998</v>
      </c>
      <c r="S18" s="408">
        <f t="shared" ref="S18:S23" si="2">IF(Q18=0,0,SUM(L18:N18)*4)</f>
        <v>102981.36000000002</v>
      </c>
      <c r="T18" s="401"/>
      <c r="U18" s="401"/>
      <c r="V18" s="89" t="s">
        <v>42</v>
      </c>
      <c r="W18" s="408">
        <f>SUMIF(A:A,$V18,O:O)</f>
        <v>-576358.57000000007</v>
      </c>
      <c r="X18" s="400"/>
      <c r="Y18"/>
      <c r="Z18"/>
      <c r="AB18" s="287"/>
      <c r="AC18" s="311" t="s">
        <v>1736</v>
      </c>
      <c r="AD18" s="338">
        <v>0</v>
      </c>
      <c r="AE18" s="323">
        <v>0</v>
      </c>
      <c r="AF18" s="323">
        <v>0</v>
      </c>
      <c r="AG18" s="323">
        <v>0</v>
      </c>
      <c r="AH18" s="323">
        <v>0</v>
      </c>
      <c r="AI18" s="323">
        <v>0</v>
      </c>
      <c r="AJ18" s="323">
        <v>0</v>
      </c>
      <c r="AK18" s="323">
        <v>0</v>
      </c>
      <c r="AL18" s="323">
        <v>0</v>
      </c>
      <c r="AM18" s="323">
        <v>0</v>
      </c>
      <c r="AN18" s="324">
        <v>0</v>
      </c>
    </row>
    <row r="19" spans="1:40">
      <c r="A19" s="405" t="s">
        <v>42</v>
      </c>
      <c r="B19" s="161" t="s">
        <v>552</v>
      </c>
      <c r="C19" s="285">
        <v>-43114.26</v>
      </c>
      <c r="D19" s="285">
        <v>-53948.19</v>
      </c>
      <c r="E19" s="285">
        <v>-57543.33</v>
      </c>
      <c r="F19" s="285">
        <v>-56344.1</v>
      </c>
      <c r="G19" s="285">
        <v>-51258.7</v>
      </c>
      <c r="H19" s="285">
        <v>-47472.31</v>
      </c>
      <c r="I19" s="285">
        <v>-52857.62</v>
      </c>
      <c r="J19" s="285">
        <v>-67000.77</v>
      </c>
      <c r="K19" s="285">
        <v>-61906.17</v>
      </c>
      <c r="L19" s="285">
        <v>-51872.73</v>
      </c>
      <c r="M19" s="285">
        <v>-54647.44</v>
      </c>
      <c r="N19" s="285">
        <v>-53298.8</v>
      </c>
      <c r="O19" s="285">
        <v>-651264.42000000004</v>
      </c>
      <c r="Q19" s="409">
        <f t="shared" si="0"/>
        <v>-651264.42000000016</v>
      </c>
      <c r="R19" s="409">
        <f t="shared" si="1"/>
        <v>-683167.05999999994</v>
      </c>
      <c r="S19" s="409">
        <f t="shared" si="2"/>
        <v>-639275.88000000012</v>
      </c>
      <c r="T19" s="401"/>
      <c r="U19" s="401"/>
      <c r="V19" s="91"/>
      <c r="W19" s="412"/>
      <c r="X19"/>
      <c r="Y19"/>
      <c r="Z19"/>
      <c r="AB19" s="287"/>
      <c r="AC19" s="311" t="s">
        <v>1737</v>
      </c>
      <c r="AD19" s="338">
        <v>-117055.64</v>
      </c>
      <c r="AE19" s="323">
        <v>-47462.588307089893</v>
      </c>
      <c r="AF19" s="323">
        <v>-36695.347990712704</v>
      </c>
      <c r="AG19" s="323">
        <v>-2996.4319397015988</v>
      </c>
      <c r="AH19" s="323">
        <v>0</v>
      </c>
      <c r="AI19" s="323">
        <v>0</v>
      </c>
      <c r="AJ19" s="323">
        <v>0</v>
      </c>
      <c r="AK19" s="323">
        <v>0</v>
      </c>
      <c r="AL19" s="323">
        <v>0</v>
      </c>
      <c r="AM19" s="323">
        <v>0</v>
      </c>
      <c r="AN19" s="324">
        <v>0</v>
      </c>
    </row>
    <row r="20" spans="1:40">
      <c r="A20" s="405" t="s">
        <v>41</v>
      </c>
      <c r="B20" s="161" t="s">
        <v>553</v>
      </c>
      <c r="C20" s="285">
        <v>1867.85</v>
      </c>
      <c r="D20" s="285">
        <v>2266.4</v>
      </c>
      <c r="E20" s="285">
        <v>2106.89</v>
      </c>
      <c r="F20" s="285">
        <v>2499.91</v>
      </c>
      <c r="G20" s="285">
        <v>3028.37</v>
      </c>
      <c r="H20" s="285">
        <v>2796.34</v>
      </c>
      <c r="I20" s="285">
        <v>3222.05</v>
      </c>
      <c r="J20" s="285">
        <v>2775.95</v>
      </c>
      <c r="K20" s="285">
        <v>2887.84</v>
      </c>
      <c r="L20" s="285">
        <v>2276.35</v>
      </c>
      <c r="M20" s="285">
        <v>3193.24</v>
      </c>
      <c r="N20" s="285">
        <v>1918.15</v>
      </c>
      <c r="O20" s="285">
        <v>30839.34</v>
      </c>
      <c r="Q20" s="409">
        <f t="shared" si="0"/>
        <v>30839.339999999997</v>
      </c>
      <c r="R20" s="409">
        <f t="shared" si="1"/>
        <v>32547.16</v>
      </c>
      <c r="S20" s="409">
        <f t="shared" si="2"/>
        <v>29550.959999999999</v>
      </c>
      <c r="T20" s="272"/>
      <c r="U20" s="272"/>
      <c r="V20" s="72" t="s">
        <v>44</v>
      </c>
      <c r="W20" s="412">
        <f>SUMIF(A:A,$V20,O:O)</f>
        <v>0</v>
      </c>
      <c r="X20"/>
      <c r="Y20"/>
      <c r="Z20"/>
      <c r="AB20" s="287"/>
      <c r="AC20" s="309" t="s">
        <v>1738</v>
      </c>
      <c r="AD20" s="319"/>
      <c r="AE20" s="325">
        <v>-349333.62081105157</v>
      </c>
      <c r="AF20" s="325">
        <v>-177978.0372336721</v>
      </c>
      <c r="AG20" s="325">
        <v>-94639.172017166522</v>
      </c>
      <c r="AH20" s="325">
        <v>0</v>
      </c>
      <c r="AI20" s="325">
        <v>0</v>
      </c>
      <c r="AJ20" s="325">
        <v>0</v>
      </c>
      <c r="AK20" s="325">
        <v>0</v>
      </c>
      <c r="AL20" s="325">
        <v>0</v>
      </c>
      <c r="AM20" s="325">
        <v>0</v>
      </c>
      <c r="AN20" s="326">
        <v>0</v>
      </c>
    </row>
    <row r="21" spans="1:40" s="274" customFormat="1">
      <c r="A21" s="405" t="s">
        <v>41</v>
      </c>
      <c r="B21" s="161" t="s">
        <v>1789</v>
      </c>
      <c r="C21" s="285">
        <v>0</v>
      </c>
      <c r="D21" s="285">
        <v>0</v>
      </c>
      <c r="E21" s="285">
        <v>0</v>
      </c>
      <c r="F21" s="285">
        <v>-200.52</v>
      </c>
      <c r="G21" s="285">
        <v>-1554</v>
      </c>
      <c r="H21" s="285">
        <v>-1554</v>
      </c>
      <c r="I21" s="285">
        <v>-1554</v>
      </c>
      <c r="J21" s="285">
        <v>-1554</v>
      </c>
      <c r="K21" s="285">
        <v>-1554</v>
      </c>
      <c r="L21" s="285">
        <v>-1604.13</v>
      </c>
      <c r="M21" s="285">
        <v>-1665</v>
      </c>
      <c r="N21" s="285">
        <v>-1554</v>
      </c>
      <c r="O21" s="285">
        <v>-12793.65</v>
      </c>
      <c r="P21" s="160"/>
      <c r="Q21" s="409">
        <f t="shared" si="0"/>
        <v>-12793.650000000001</v>
      </c>
      <c r="R21" s="409">
        <f t="shared" si="1"/>
        <v>-18970.260000000002</v>
      </c>
      <c r="S21" s="409">
        <f t="shared" si="2"/>
        <v>-19292.52</v>
      </c>
      <c r="T21" s="401"/>
      <c r="U21" s="401"/>
      <c r="V21" s="72" t="s">
        <v>2051</v>
      </c>
      <c r="W21" s="412">
        <f>SUMIF(A:A,$V21,O:O)</f>
        <v>0</v>
      </c>
      <c r="X21"/>
      <c r="Y21"/>
      <c r="Z21"/>
      <c r="AA21"/>
      <c r="AB21" s="288"/>
      <c r="AC21" s="312" t="s">
        <v>1739</v>
      </c>
      <c r="AD21" s="333">
        <v>8985546.6538756434</v>
      </c>
      <c r="AE21" s="327">
        <v>8627149.1037253216</v>
      </c>
      <c r="AF21" s="327">
        <v>9192694.6951974854</v>
      </c>
      <c r="AG21" s="327">
        <v>9778304.7724373098</v>
      </c>
      <c r="AH21" s="327">
        <v>10245781.109006543</v>
      </c>
      <c r="AI21" s="327">
        <v>10627037.722716106</v>
      </c>
      <c r="AJ21" s="327">
        <v>10992078.117409671</v>
      </c>
      <c r="AK21" s="327">
        <v>11323219.470864827</v>
      </c>
      <c r="AL21" s="327">
        <v>11655762.190854326</v>
      </c>
      <c r="AM21" s="327">
        <v>11998018.290574083</v>
      </c>
      <c r="AN21" s="328">
        <v>12350273.102535479</v>
      </c>
    </row>
    <row r="22" spans="1:40">
      <c r="A22" s="405" t="s">
        <v>41</v>
      </c>
      <c r="B22" s="161" t="s">
        <v>554</v>
      </c>
      <c r="C22" s="285">
        <v>-8091.09</v>
      </c>
      <c r="D22" s="285">
        <v>-2715.94</v>
      </c>
      <c r="E22" s="285">
        <v>-27759.200000000001</v>
      </c>
      <c r="F22" s="285">
        <v>-3529.88</v>
      </c>
      <c r="G22" s="285">
        <v>-3581.47</v>
      </c>
      <c r="H22" s="285">
        <v>-12831.95</v>
      </c>
      <c r="I22" s="285">
        <v>-18168.46</v>
      </c>
      <c r="J22" s="285">
        <v>-12021.55</v>
      </c>
      <c r="K22" s="285">
        <v>-12156.51</v>
      </c>
      <c r="L22" s="285">
        <v>-35285.15</v>
      </c>
      <c r="M22" s="285">
        <v>-248.68</v>
      </c>
      <c r="N22" s="285">
        <v>-22978.880000000001</v>
      </c>
      <c r="O22" s="285">
        <v>-159368.76</v>
      </c>
      <c r="Q22" s="409">
        <f t="shared" si="0"/>
        <v>-159368.75999999998</v>
      </c>
      <c r="R22" s="409">
        <f t="shared" si="1"/>
        <v>-201718.46</v>
      </c>
      <c r="S22" s="409">
        <f t="shared" si="2"/>
        <v>-234050.84000000003</v>
      </c>
      <c r="V22" s="72" t="s">
        <v>47</v>
      </c>
      <c r="W22" s="412">
        <f>SUMIF(A:A,$V22,O:O)</f>
        <v>44205.67</v>
      </c>
      <c r="X22" s="401"/>
      <c r="AC22" s="309"/>
      <c r="AD22" s="319"/>
      <c r="AE22" s="319"/>
      <c r="AF22" s="319"/>
      <c r="AG22" s="319"/>
      <c r="AH22" s="319"/>
      <c r="AI22" s="319"/>
      <c r="AJ22" s="319"/>
      <c r="AK22" s="319"/>
      <c r="AL22" s="319"/>
      <c r="AM22" s="319"/>
      <c r="AN22" s="320"/>
    </row>
    <row r="23" spans="1:40">
      <c r="A23" s="405" t="s">
        <v>41</v>
      </c>
      <c r="B23" s="161" t="s">
        <v>555</v>
      </c>
      <c r="C23" s="285">
        <v>-14875</v>
      </c>
      <c r="D23" s="285">
        <v>-5032.26</v>
      </c>
      <c r="E23" s="285">
        <v>451</v>
      </c>
      <c r="F23" s="285">
        <v>-8422.98</v>
      </c>
      <c r="G23" s="285">
        <v>-34920.51</v>
      </c>
      <c r="H23" s="285">
        <v>-47726.38</v>
      </c>
      <c r="I23" s="285">
        <v>-22988.63</v>
      </c>
      <c r="J23" s="285">
        <v>-9278.94</v>
      </c>
      <c r="K23" s="285">
        <v>-1774.92</v>
      </c>
      <c r="L23" s="285">
        <v>-30293.360000000001</v>
      </c>
      <c r="M23" s="285">
        <v>-35474.339999999997</v>
      </c>
      <c r="N23" s="285">
        <v>-14634.68</v>
      </c>
      <c r="O23" s="285">
        <v>-224971</v>
      </c>
      <c r="Q23" s="410">
        <f t="shared" si="0"/>
        <v>-224971.00000000003</v>
      </c>
      <c r="R23" s="410">
        <f t="shared" si="1"/>
        <v>-228889.74</v>
      </c>
      <c r="S23" s="410">
        <f t="shared" si="2"/>
        <v>-321609.52</v>
      </c>
      <c r="V23" s="72" t="s">
        <v>48</v>
      </c>
      <c r="W23" s="412">
        <f>SUMIF(A:A,$V23,O:O)</f>
        <v>1009345.01</v>
      </c>
      <c r="X23" s="401"/>
      <c r="AC23" s="310" t="s">
        <v>1740</v>
      </c>
      <c r="AD23" s="337" t="s">
        <v>1762</v>
      </c>
      <c r="AE23" s="321"/>
      <c r="AF23" s="321"/>
      <c r="AG23" s="321"/>
      <c r="AH23" s="321"/>
      <c r="AI23" s="321"/>
      <c r="AJ23" s="321"/>
      <c r="AK23" s="321"/>
      <c r="AL23" s="321"/>
      <c r="AM23" s="321"/>
      <c r="AN23" s="322"/>
    </row>
    <row r="24" spans="1:40">
      <c r="B24" s="161" t="s">
        <v>556</v>
      </c>
      <c r="C24" s="286">
        <v>643960.42000000004</v>
      </c>
      <c r="D24" s="286">
        <v>647838.9</v>
      </c>
      <c r="E24" s="286">
        <v>623733.51</v>
      </c>
      <c r="F24" s="286">
        <v>636696.65</v>
      </c>
      <c r="G24" s="286">
        <v>615337.48</v>
      </c>
      <c r="H24" s="286">
        <v>594040.96</v>
      </c>
      <c r="I24" s="286">
        <v>609258.99</v>
      </c>
      <c r="J24" s="286">
        <v>609333.32999999996</v>
      </c>
      <c r="K24" s="286">
        <v>620492.56000000006</v>
      </c>
      <c r="L24" s="286">
        <v>579553.78</v>
      </c>
      <c r="M24" s="286">
        <v>607551.98</v>
      </c>
      <c r="N24" s="286">
        <v>605371.53</v>
      </c>
      <c r="O24" s="286">
        <v>7393170.0899999999</v>
      </c>
      <c r="Q24" s="411">
        <f>SUM(Q17:Q23)</f>
        <v>7393170.0899999999</v>
      </c>
      <c r="R24" s="411">
        <f t="shared" ref="R24:S24" si="3">SUM(R17:R23)</f>
        <v>7263124.3400000017</v>
      </c>
      <c r="S24" s="411">
        <f t="shared" si="3"/>
        <v>7169909.1600000001</v>
      </c>
      <c r="V24" s="66"/>
      <c r="W24" s="412"/>
      <c r="X24" s="401"/>
      <c r="AC24" s="311" t="s">
        <v>1745</v>
      </c>
      <c r="AD24" s="338">
        <v>574480.84</v>
      </c>
      <c r="AE24" s="323">
        <v>569345.6</v>
      </c>
      <c r="AF24" s="323">
        <v>586425.96799999999</v>
      </c>
      <c r="AG24" s="323">
        <v>604018.74703999993</v>
      </c>
      <c r="AH24" s="323">
        <v>622139.30945119995</v>
      </c>
      <c r="AI24" s="323">
        <v>640803.48873473611</v>
      </c>
      <c r="AJ24" s="323">
        <v>660027.59339677787</v>
      </c>
      <c r="AK24" s="323">
        <v>679828.42119868146</v>
      </c>
      <c r="AL24" s="323">
        <v>700223.27383464167</v>
      </c>
      <c r="AM24" s="323">
        <v>721229.972049681</v>
      </c>
      <c r="AN24" s="324">
        <v>742866.87121117162</v>
      </c>
    </row>
    <row r="25" spans="1:40">
      <c r="B25" s="539" t="s">
        <v>105</v>
      </c>
      <c r="C25" s="539"/>
      <c r="D25" s="539"/>
      <c r="E25" s="539"/>
      <c r="F25" s="539"/>
      <c r="G25" s="539"/>
      <c r="H25" s="539"/>
      <c r="I25" s="539"/>
      <c r="J25" s="539"/>
      <c r="K25" s="539"/>
      <c r="L25" s="539"/>
      <c r="M25" s="539"/>
      <c r="N25" s="539"/>
      <c r="O25" s="539"/>
      <c r="Q25" s="412"/>
      <c r="R25" s="412"/>
      <c r="S25" s="412"/>
      <c r="U25" s="160" t="str">
        <f>IF(W25=O49,"YES","NO")</f>
        <v>YES</v>
      </c>
      <c r="V25" s="99" t="s">
        <v>49</v>
      </c>
      <c r="W25" s="412">
        <f>SUM(W17:W23)</f>
        <v>8446720.7699999996</v>
      </c>
      <c r="X25" s="272"/>
      <c r="AC25" s="311" t="s">
        <v>1746</v>
      </c>
      <c r="AD25" s="338">
        <v>10605.92</v>
      </c>
      <c r="AE25" s="323">
        <v>10924.097600000001</v>
      </c>
      <c r="AF25" s="323">
        <v>11251.820528000002</v>
      </c>
      <c r="AG25" s="323">
        <v>11589.375143840005</v>
      </c>
      <c r="AH25" s="323">
        <v>11937.056398155204</v>
      </c>
      <c r="AI25" s="323">
        <v>12295.168090099854</v>
      </c>
      <c r="AJ25" s="323">
        <v>12664.023132802853</v>
      </c>
      <c r="AK25" s="323">
        <v>13043.943826786939</v>
      </c>
      <c r="AL25" s="323">
        <v>13435.262141590551</v>
      </c>
      <c r="AM25" s="323">
        <v>13838.32000583827</v>
      </c>
      <c r="AN25" s="324">
        <v>14253.469606013414</v>
      </c>
    </row>
    <row r="26" spans="1:40">
      <c r="B26" s="161" t="s">
        <v>557</v>
      </c>
      <c r="C26" s="161" t="s">
        <v>108</v>
      </c>
      <c r="D26" s="161" t="s">
        <v>108</v>
      </c>
      <c r="E26" s="161" t="s">
        <v>108</v>
      </c>
      <c r="F26" s="161" t="s">
        <v>108</v>
      </c>
      <c r="G26" s="161" t="s">
        <v>108</v>
      </c>
      <c r="H26" s="161" t="s">
        <v>108</v>
      </c>
      <c r="I26" s="161" t="s">
        <v>108</v>
      </c>
      <c r="J26" s="161" t="s">
        <v>108</v>
      </c>
      <c r="K26" s="161" t="s">
        <v>108</v>
      </c>
      <c r="L26" s="161" t="s">
        <v>108</v>
      </c>
      <c r="M26" s="161" t="s">
        <v>108</v>
      </c>
      <c r="N26" s="161" t="s">
        <v>108</v>
      </c>
      <c r="O26" s="161" t="s">
        <v>108</v>
      </c>
      <c r="Q26" s="412"/>
      <c r="R26" s="412"/>
      <c r="S26" s="412"/>
      <c r="V26" s="66"/>
      <c r="W26" s="412"/>
      <c r="X26" s="401"/>
      <c r="AC26" s="311" t="s">
        <v>1747</v>
      </c>
      <c r="AD26" s="338">
        <v>91494.430000000008</v>
      </c>
      <c r="AE26" s="323">
        <v>91575</v>
      </c>
      <c r="AF26" s="323">
        <v>94322.250000000015</v>
      </c>
      <c r="AG26" s="323">
        <v>97151.917499999981</v>
      </c>
      <c r="AH26" s="323">
        <v>100066.47502499999</v>
      </c>
      <c r="AI26" s="323">
        <v>103068.46927575</v>
      </c>
      <c r="AJ26" s="323">
        <v>106160.52335402249</v>
      </c>
      <c r="AK26" s="323">
        <v>109345.33905464318</v>
      </c>
      <c r="AL26" s="323">
        <v>112625.69922628248</v>
      </c>
      <c r="AM26" s="323">
        <v>116004.470203071</v>
      </c>
      <c r="AN26" s="324">
        <v>119484.60430916311</v>
      </c>
    </row>
    <row r="27" spans="1:40">
      <c r="A27" s="405" t="s">
        <v>48</v>
      </c>
      <c r="B27" s="161" t="s">
        <v>558</v>
      </c>
      <c r="C27" s="285">
        <v>5493</v>
      </c>
      <c r="D27" s="285">
        <v>9660</v>
      </c>
      <c r="E27" s="285">
        <v>2484.37</v>
      </c>
      <c r="F27" s="285">
        <v>7065</v>
      </c>
      <c r="G27" s="285">
        <v>8715</v>
      </c>
      <c r="H27" s="285">
        <v>9660</v>
      </c>
      <c r="I27" s="285">
        <v>5790</v>
      </c>
      <c r="J27" s="285">
        <v>10425</v>
      </c>
      <c r="K27" s="285">
        <v>12561.6</v>
      </c>
      <c r="L27" s="285">
        <v>2808</v>
      </c>
      <c r="M27" s="285">
        <v>9660</v>
      </c>
      <c r="N27" s="285">
        <v>3780.23</v>
      </c>
      <c r="O27" s="285">
        <v>88102.2</v>
      </c>
      <c r="Q27" s="413">
        <f>IF(SUM(C27:N27)=0,0,SUM(C27:N27))</f>
        <v>88102.2</v>
      </c>
      <c r="R27" s="413">
        <f>IF(Q27=0,0,SUM(I27:N27)*2)</f>
        <v>90049.66</v>
      </c>
      <c r="S27" s="413">
        <f>IF(Q27=0,0,SUM(L27:N27)*4)</f>
        <v>64992.92</v>
      </c>
      <c r="V27" s="69" t="s">
        <v>51</v>
      </c>
      <c r="W27" s="413">
        <f t="shared" ref="W27:W38" si="4">SUMIF(A:A,$V27,O:O)</f>
        <v>0</v>
      </c>
      <c r="AC27" s="311" t="s">
        <v>1748</v>
      </c>
      <c r="AD27" s="338">
        <v>207771.55000000002</v>
      </c>
      <c r="AE27" s="323">
        <v>210375</v>
      </c>
      <c r="AF27" s="323">
        <v>216686.25</v>
      </c>
      <c r="AG27" s="323">
        <v>223186.83750000005</v>
      </c>
      <c r="AH27" s="323">
        <v>229882.442625</v>
      </c>
      <c r="AI27" s="323">
        <v>236778.91590374996</v>
      </c>
      <c r="AJ27" s="323">
        <v>243882.28338086247</v>
      </c>
      <c r="AK27" s="323">
        <v>251198.75188228834</v>
      </c>
      <c r="AL27" s="323">
        <v>258734.71443875704</v>
      </c>
      <c r="AM27" s="323">
        <v>266496.75587191986</v>
      </c>
      <c r="AN27" s="324">
        <v>274491.65854807745</v>
      </c>
    </row>
    <row r="28" spans="1:40">
      <c r="A28" s="405" t="s">
        <v>48</v>
      </c>
      <c r="B28" s="161" t="s">
        <v>559</v>
      </c>
      <c r="C28" s="285">
        <v>1500</v>
      </c>
      <c r="D28" s="285">
        <v>800</v>
      </c>
      <c r="E28" s="285">
        <v>1800</v>
      </c>
      <c r="F28" s="285">
        <v>2300</v>
      </c>
      <c r="G28" s="285">
        <v>2295.58</v>
      </c>
      <c r="H28" s="285">
        <v>1050</v>
      </c>
      <c r="I28" s="285">
        <v>200</v>
      </c>
      <c r="J28" s="285">
        <v>600</v>
      </c>
      <c r="K28" s="285">
        <v>-50</v>
      </c>
      <c r="L28" s="285">
        <v>0</v>
      </c>
      <c r="M28" s="285">
        <v>0</v>
      </c>
      <c r="N28" s="285">
        <v>0</v>
      </c>
      <c r="O28" s="285">
        <v>10495.58</v>
      </c>
      <c r="Q28" s="413">
        <f t="shared" ref="Q28:Q43" si="5">IF(SUM(C28:N28)=0,0,SUM(C28:N28))</f>
        <v>10495.58</v>
      </c>
      <c r="R28" s="413">
        <f t="shared" ref="R28:R43" si="6">IF(Q28=0,0,SUM(I28:N28)*2)</f>
        <v>1500</v>
      </c>
      <c r="S28" s="413">
        <f t="shared" ref="S28:S43" si="7">IF(Q28=0,0,SUM(L28:N28)*4)</f>
        <v>0</v>
      </c>
      <c r="V28" s="72" t="s">
        <v>52</v>
      </c>
      <c r="W28" s="413">
        <f t="shared" si="4"/>
        <v>389066.52</v>
      </c>
      <c r="AC28" s="311" t="s">
        <v>1749</v>
      </c>
      <c r="AD28" s="338">
        <v>0</v>
      </c>
      <c r="AE28" s="323">
        <v>44550</v>
      </c>
      <c r="AF28" s="323">
        <v>183546.00000000003</v>
      </c>
      <c r="AG28" s="323">
        <v>189052.37999999998</v>
      </c>
      <c r="AH28" s="323">
        <v>194723.95140000002</v>
      </c>
      <c r="AI28" s="323">
        <v>200565.6699420001</v>
      </c>
      <c r="AJ28" s="323">
        <v>206582.64004026001</v>
      </c>
      <c r="AK28" s="323">
        <v>212780.11924146779</v>
      </c>
      <c r="AL28" s="323">
        <v>219163.52281871191</v>
      </c>
      <c r="AM28" s="323">
        <v>225738.4285032732</v>
      </c>
      <c r="AN28" s="324">
        <v>232510.58135837145</v>
      </c>
    </row>
    <row r="29" spans="1:40">
      <c r="A29" s="405" t="s">
        <v>48</v>
      </c>
      <c r="B29" s="161" t="s">
        <v>560</v>
      </c>
      <c r="C29" s="285">
        <v>3801</v>
      </c>
      <c r="D29" s="285">
        <v>2872.34</v>
      </c>
      <c r="E29" s="285">
        <v>2839.68</v>
      </c>
      <c r="F29" s="285">
        <v>2641.94</v>
      </c>
      <c r="G29" s="285">
        <v>2611.4499999999998</v>
      </c>
      <c r="H29" s="285">
        <v>2473.33</v>
      </c>
      <c r="I29" s="285">
        <v>3661.46</v>
      </c>
      <c r="J29" s="285">
        <v>2903.5</v>
      </c>
      <c r="K29" s="285">
        <v>2888.07</v>
      </c>
      <c r="L29" s="285">
        <v>3905.02</v>
      </c>
      <c r="M29" s="285">
        <v>2993.75</v>
      </c>
      <c r="N29" s="285">
        <v>3424.35</v>
      </c>
      <c r="O29" s="285">
        <v>37015.89</v>
      </c>
      <c r="Q29" s="413">
        <f t="shared" si="5"/>
        <v>37015.889999999992</v>
      </c>
      <c r="R29" s="413">
        <f t="shared" si="6"/>
        <v>39552.300000000003</v>
      </c>
      <c r="S29" s="413">
        <f t="shared" si="7"/>
        <v>41292.480000000003</v>
      </c>
      <c r="V29" s="72" t="s">
        <v>53</v>
      </c>
      <c r="W29" s="413">
        <f t="shared" si="4"/>
        <v>130999.1</v>
      </c>
      <c r="AC29" s="311" t="s">
        <v>1750</v>
      </c>
      <c r="AD29" s="338">
        <v>113265.91</v>
      </c>
      <c r="AE29" s="323">
        <v>111375</v>
      </c>
      <c r="AF29" s="323">
        <v>114716.25</v>
      </c>
      <c r="AG29" s="323">
        <v>118157.73749999997</v>
      </c>
      <c r="AH29" s="323">
        <v>121702.46962499997</v>
      </c>
      <c r="AI29" s="323">
        <v>125353.54371375003</v>
      </c>
      <c r="AJ29" s="323">
        <v>129114.15002516248</v>
      </c>
      <c r="AK29" s="323">
        <v>132987.57452591739</v>
      </c>
      <c r="AL29" s="323">
        <v>136977.20176169492</v>
      </c>
      <c r="AM29" s="323">
        <v>141086.51781454578</v>
      </c>
      <c r="AN29" s="324">
        <v>145319.11334898215</v>
      </c>
    </row>
    <row r="30" spans="1:40">
      <c r="A30" s="405" t="s">
        <v>48</v>
      </c>
      <c r="B30" s="161" t="s">
        <v>561</v>
      </c>
      <c r="C30" s="285">
        <v>5400</v>
      </c>
      <c r="D30" s="285">
        <v>3100.69</v>
      </c>
      <c r="E30" s="285">
        <v>6875</v>
      </c>
      <c r="F30" s="285">
        <v>10179.030000000001</v>
      </c>
      <c r="G30" s="285">
        <v>11150</v>
      </c>
      <c r="H30" s="285">
        <v>5450</v>
      </c>
      <c r="I30" s="285">
        <v>1683.07</v>
      </c>
      <c r="J30" s="285">
        <v>1850</v>
      </c>
      <c r="K30" s="285">
        <v>7800</v>
      </c>
      <c r="L30" s="285">
        <v>10000</v>
      </c>
      <c r="M30" s="285">
        <v>6000</v>
      </c>
      <c r="N30" s="285">
        <v>7750</v>
      </c>
      <c r="O30" s="285">
        <v>77237.789999999994</v>
      </c>
      <c r="Q30" s="413">
        <f t="shared" si="5"/>
        <v>77237.790000000008</v>
      </c>
      <c r="R30" s="413">
        <f t="shared" si="6"/>
        <v>70166.14</v>
      </c>
      <c r="S30" s="413">
        <f t="shared" si="7"/>
        <v>95000</v>
      </c>
      <c r="T30" s="223"/>
      <c r="U30" s="223"/>
      <c r="V30" s="81" t="s">
        <v>54</v>
      </c>
      <c r="W30" s="413">
        <f t="shared" si="4"/>
        <v>411158.29</v>
      </c>
      <c r="AC30" s="311" t="s">
        <v>1751</v>
      </c>
      <c r="AD30" s="338">
        <v>0</v>
      </c>
      <c r="AE30" s="323">
        <v>0</v>
      </c>
      <c r="AF30" s="323">
        <v>0</v>
      </c>
      <c r="AG30" s="323">
        <v>0</v>
      </c>
      <c r="AH30" s="323">
        <v>0</v>
      </c>
      <c r="AI30" s="323">
        <v>0</v>
      </c>
      <c r="AJ30" s="323">
        <v>0</v>
      </c>
      <c r="AK30" s="323">
        <v>0</v>
      </c>
      <c r="AL30" s="323">
        <v>0</v>
      </c>
      <c r="AM30" s="323">
        <v>0</v>
      </c>
      <c r="AN30" s="324">
        <v>0</v>
      </c>
    </row>
    <row r="31" spans="1:40">
      <c r="A31" s="405" t="s">
        <v>48</v>
      </c>
      <c r="B31" s="161" t="s">
        <v>562</v>
      </c>
      <c r="C31" s="285">
        <v>3915.58</v>
      </c>
      <c r="D31" s="285">
        <v>7301.51</v>
      </c>
      <c r="E31" s="285">
        <v>6030.86</v>
      </c>
      <c r="F31" s="285">
        <v>4375.6400000000003</v>
      </c>
      <c r="G31" s="285">
        <v>3907.48</v>
      </c>
      <c r="H31" s="285">
        <v>3745.08</v>
      </c>
      <c r="I31" s="285">
        <v>3513.02</v>
      </c>
      <c r="J31" s="285">
        <v>2993.54</v>
      </c>
      <c r="K31" s="285">
        <v>2924.22</v>
      </c>
      <c r="L31" s="285">
        <v>10335.01</v>
      </c>
      <c r="M31" s="285">
        <v>6742.67</v>
      </c>
      <c r="N31" s="285">
        <v>2852.95</v>
      </c>
      <c r="O31" s="285">
        <v>58637.56</v>
      </c>
      <c r="Q31" s="413">
        <f t="shared" si="5"/>
        <v>58637.56</v>
      </c>
      <c r="R31" s="413">
        <f t="shared" si="6"/>
        <v>58722.82</v>
      </c>
      <c r="S31" s="413">
        <f t="shared" si="7"/>
        <v>79722.52</v>
      </c>
      <c r="V31" s="81" t="s">
        <v>55</v>
      </c>
      <c r="W31" s="413">
        <f t="shared" si="4"/>
        <v>354217.02</v>
      </c>
      <c r="AC31" s="311" t="s">
        <v>1752</v>
      </c>
      <c r="AD31" s="338">
        <v>232268.57</v>
      </c>
      <c r="AE31" s="323">
        <v>232268.57000000004</v>
      </c>
      <c r="AF31" s="323">
        <v>239236.62710000007</v>
      </c>
      <c r="AG31" s="323">
        <v>246413.72591299994</v>
      </c>
      <c r="AH31" s="323">
        <v>253806.13769038997</v>
      </c>
      <c r="AI31" s="323">
        <v>261420.32182110168</v>
      </c>
      <c r="AJ31" s="323">
        <v>269262.9314757348</v>
      </c>
      <c r="AK31" s="323">
        <v>277340.81942000677</v>
      </c>
      <c r="AL31" s="323">
        <v>285661.04400260706</v>
      </c>
      <c r="AM31" s="323">
        <v>294230.87532268529</v>
      </c>
      <c r="AN31" s="324">
        <v>303057.80158236588</v>
      </c>
    </row>
    <row r="32" spans="1:40">
      <c r="A32" s="405" t="s">
        <v>47</v>
      </c>
      <c r="B32" s="161" t="s">
        <v>563</v>
      </c>
      <c r="C32" s="285">
        <v>3611</v>
      </c>
      <c r="D32" s="285">
        <v>3717.59</v>
      </c>
      <c r="E32" s="285">
        <v>3663</v>
      </c>
      <c r="F32" s="285">
        <v>3819.67</v>
      </c>
      <c r="G32" s="285">
        <v>3861.26</v>
      </c>
      <c r="H32" s="285">
        <v>3757.35</v>
      </c>
      <c r="I32" s="285">
        <v>3692.92</v>
      </c>
      <c r="J32" s="285">
        <v>3651</v>
      </c>
      <c r="K32" s="285">
        <v>3586.89</v>
      </c>
      <c r="L32" s="285">
        <v>3644.49</v>
      </c>
      <c r="M32" s="285">
        <v>3561.79</v>
      </c>
      <c r="N32" s="285">
        <v>3638.71</v>
      </c>
      <c r="O32" s="285">
        <v>44205.67</v>
      </c>
      <c r="Q32" s="413">
        <f t="shared" si="5"/>
        <v>44205.67</v>
      </c>
      <c r="R32" s="413">
        <f t="shared" si="6"/>
        <v>43551.6</v>
      </c>
      <c r="S32" s="519">
        <f t="shared" si="7"/>
        <v>43379.96</v>
      </c>
      <c r="V32" s="72" t="s">
        <v>57</v>
      </c>
      <c r="W32" s="413">
        <f t="shared" si="4"/>
        <v>210758.11</v>
      </c>
      <c r="AC32" s="311" t="s">
        <v>1753</v>
      </c>
      <c r="AD32" s="338">
        <v>42871.94000000001</v>
      </c>
      <c r="AE32" s="323">
        <v>45045</v>
      </c>
      <c r="AF32" s="323">
        <v>46396.350000000006</v>
      </c>
      <c r="AG32" s="323">
        <v>47788.240499999993</v>
      </c>
      <c r="AH32" s="323">
        <v>49221.887715000012</v>
      </c>
      <c r="AI32" s="323">
        <v>50698.54434645002</v>
      </c>
      <c r="AJ32" s="323">
        <v>52219.500676843491</v>
      </c>
      <c r="AK32" s="323">
        <v>53786.085697148817</v>
      </c>
      <c r="AL32" s="323">
        <v>55399.668268063258</v>
      </c>
      <c r="AM32" s="323">
        <v>57061.658316105189</v>
      </c>
      <c r="AN32" s="324">
        <v>58773.508065588343</v>
      </c>
    </row>
    <row r="33" spans="1:40">
      <c r="A33" s="405" t="s">
        <v>48</v>
      </c>
      <c r="B33" s="161" t="s">
        <v>564</v>
      </c>
      <c r="C33" s="285">
        <v>-826.67</v>
      </c>
      <c r="D33" s="285">
        <v>4721.78</v>
      </c>
      <c r="E33" s="285">
        <v>3229.02</v>
      </c>
      <c r="F33" s="285">
        <v>1661.33</v>
      </c>
      <c r="G33" s="285">
        <v>1759.53</v>
      </c>
      <c r="H33" s="285">
        <v>3333.07</v>
      </c>
      <c r="I33" s="285">
        <v>546.03</v>
      </c>
      <c r="J33" s="285">
        <v>5269.3</v>
      </c>
      <c r="K33" s="285">
        <v>2390.7399999999998</v>
      </c>
      <c r="L33" s="285">
        <v>5622.64</v>
      </c>
      <c r="M33" s="285">
        <v>1658.02</v>
      </c>
      <c r="N33" s="285">
        <v>1033.83</v>
      </c>
      <c r="O33" s="285">
        <v>30398.62</v>
      </c>
      <c r="Q33" s="413">
        <f t="shared" si="5"/>
        <v>30398.619999999995</v>
      </c>
      <c r="R33" s="413">
        <f t="shared" si="6"/>
        <v>33041.119999999995</v>
      </c>
      <c r="S33" s="413">
        <f t="shared" si="7"/>
        <v>33257.96</v>
      </c>
      <c r="V33" s="72" t="s">
        <v>58</v>
      </c>
      <c r="W33" s="413">
        <f t="shared" si="4"/>
        <v>589879.68000000005</v>
      </c>
      <c r="AC33" s="311" t="s">
        <v>1754</v>
      </c>
      <c r="AD33" s="338">
        <v>20740.100000000006</v>
      </c>
      <c r="AE33" s="323">
        <v>25245</v>
      </c>
      <c r="AF33" s="323">
        <v>26002.349999999995</v>
      </c>
      <c r="AG33" s="323">
        <v>26782.420499999993</v>
      </c>
      <c r="AH33" s="323">
        <v>27585.89311500001</v>
      </c>
      <c r="AI33" s="323">
        <v>28413.469908450003</v>
      </c>
      <c r="AJ33" s="323">
        <v>29265.874005703507</v>
      </c>
      <c r="AK33" s="323">
        <v>30143.850225874605</v>
      </c>
      <c r="AL33" s="323">
        <v>31048.165732650854</v>
      </c>
      <c r="AM33" s="323">
        <v>31979.610704630384</v>
      </c>
      <c r="AN33" s="324">
        <v>32938.999025769277</v>
      </c>
    </row>
    <row r="34" spans="1:40">
      <c r="A34" s="405" t="s">
        <v>48</v>
      </c>
      <c r="B34" s="161" t="s">
        <v>565</v>
      </c>
      <c r="C34" s="285">
        <v>7</v>
      </c>
      <c r="D34" s="285">
        <v>151.30000000000001</v>
      </c>
      <c r="E34" s="285">
        <v>619.67999999999995</v>
      </c>
      <c r="F34" s="285">
        <v>1494.84</v>
      </c>
      <c r="G34" s="285">
        <v>3201.9</v>
      </c>
      <c r="H34" s="285">
        <v>4362.4399999999996</v>
      </c>
      <c r="I34" s="285">
        <v>4644.46</v>
      </c>
      <c r="J34" s="285">
        <v>6360.67</v>
      </c>
      <c r="K34" s="285">
        <v>7056.44</v>
      </c>
      <c r="L34" s="285">
        <v>8744.64</v>
      </c>
      <c r="M34" s="285">
        <v>10446.94</v>
      </c>
      <c r="N34" s="285">
        <v>11940.66</v>
      </c>
      <c r="O34" s="285">
        <v>59030.97</v>
      </c>
      <c r="Q34" s="413">
        <f t="shared" si="5"/>
        <v>59030.97</v>
      </c>
      <c r="R34" s="413">
        <f t="shared" si="6"/>
        <v>98387.62</v>
      </c>
      <c r="S34" s="413">
        <f t="shared" si="7"/>
        <v>124528.96000000001</v>
      </c>
      <c r="V34" s="81" t="s">
        <v>59</v>
      </c>
      <c r="W34" s="413">
        <f t="shared" si="4"/>
        <v>107708.43</v>
      </c>
      <c r="AC34" s="311" t="s">
        <v>1755</v>
      </c>
      <c r="AD34" s="338">
        <v>287016.97000000003</v>
      </c>
      <c r="AE34" s="323">
        <v>294525</v>
      </c>
      <c r="AF34" s="323">
        <v>303360.75</v>
      </c>
      <c r="AG34" s="323">
        <v>312461.57250000001</v>
      </c>
      <c r="AH34" s="323">
        <v>321835.41967500001</v>
      </c>
      <c r="AI34" s="323">
        <v>331490.48226524988</v>
      </c>
      <c r="AJ34" s="323">
        <v>341435.19673320744</v>
      </c>
      <c r="AK34" s="323">
        <v>351678.25263520377</v>
      </c>
      <c r="AL34" s="323">
        <v>362228.60021425987</v>
      </c>
      <c r="AM34" s="323">
        <v>373095.45822068764</v>
      </c>
      <c r="AN34" s="324">
        <v>384288.32196730835</v>
      </c>
    </row>
    <row r="35" spans="1:40">
      <c r="A35" s="405" t="s">
        <v>48</v>
      </c>
      <c r="B35" s="161" t="s">
        <v>566</v>
      </c>
      <c r="C35" s="285">
        <v>7283.15</v>
      </c>
      <c r="D35" s="285">
        <v>7288.32</v>
      </c>
      <c r="E35" s="285">
        <v>6946.32</v>
      </c>
      <c r="F35" s="285">
        <v>6895.83</v>
      </c>
      <c r="G35" s="285">
        <v>7339.34</v>
      </c>
      <c r="H35" s="285">
        <v>7252.47</v>
      </c>
      <c r="I35" s="285">
        <v>7072.01</v>
      </c>
      <c r="J35" s="285">
        <v>7007.73</v>
      </c>
      <c r="K35" s="285">
        <v>7064.69</v>
      </c>
      <c r="L35" s="285">
        <v>7094.77</v>
      </c>
      <c r="M35" s="285">
        <v>7248.44</v>
      </c>
      <c r="N35" s="285">
        <v>7140.91</v>
      </c>
      <c r="O35" s="285">
        <v>85633.98</v>
      </c>
      <c r="Q35" s="413">
        <f t="shared" si="5"/>
        <v>85633.980000000025</v>
      </c>
      <c r="R35" s="413">
        <f t="shared" si="6"/>
        <v>85257.1</v>
      </c>
      <c r="S35" s="413">
        <f t="shared" si="7"/>
        <v>85936.48</v>
      </c>
      <c r="V35" s="72" t="s">
        <v>60</v>
      </c>
      <c r="W35" s="413">
        <f t="shared" si="4"/>
        <v>2732</v>
      </c>
      <c r="X35" s="223"/>
      <c r="AC35" s="311" t="s">
        <v>1756</v>
      </c>
      <c r="AD35" s="338">
        <v>139580.37649999998</v>
      </c>
      <c r="AE35" s="323">
        <v>139580.37649999998</v>
      </c>
      <c r="AF35" s="323">
        <v>132601.35767500001</v>
      </c>
      <c r="AG35" s="323">
        <v>135253.38482850001</v>
      </c>
      <c r="AH35" s="323">
        <v>139310.98637335497</v>
      </c>
      <c r="AI35" s="323">
        <v>143490.31596455566</v>
      </c>
      <c r="AJ35" s="323">
        <v>147795.02544349234</v>
      </c>
      <c r="AK35" s="323">
        <v>152228.87620679714</v>
      </c>
      <c r="AL35" s="323">
        <v>156795.74249300105</v>
      </c>
      <c r="AM35" s="323">
        <v>161499.61476779109</v>
      </c>
      <c r="AN35" s="324">
        <v>166344.6032108248</v>
      </c>
    </row>
    <row r="36" spans="1:40">
      <c r="A36" s="405" t="s">
        <v>48</v>
      </c>
      <c r="B36" s="161" t="s">
        <v>567</v>
      </c>
      <c r="C36" s="285">
        <v>350</v>
      </c>
      <c r="D36" s="285">
        <v>0</v>
      </c>
      <c r="E36" s="285">
        <v>0</v>
      </c>
      <c r="F36" s="285">
        <v>0</v>
      </c>
      <c r="G36" s="285">
        <v>0</v>
      </c>
      <c r="H36" s="285">
        <v>750</v>
      </c>
      <c r="I36" s="285">
        <v>200</v>
      </c>
      <c r="J36" s="285">
        <v>1250</v>
      </c>
      <c r="K36" s="285">
        <v>0</v>
      </c>
      <c r="L36" s="285">
        <v>2450</v>
      </c>
      <c r="M36" s="285">
        <v>-750</v>
      </c>
      <c r="N36" s="285">
        <v>1750</v>
      </c>
      <c r="O36" s="285">
        <v>6000</v>
      </c>
      <c r="Q36" s="413">
        <f t="shared" si="5"/>
        <v>6000</v>
      </c>
      <c r="R36" s="413">
        <f t="shared" si="6"/>
        <v>9800</v>
      </c>
      <c r="S36" s="413">
        <f t="shared" si="7"/>
        <v>13800</v>
      </c>
      <c r="V36" s="72" t="s">
        <v>61</v>
      </c>
      <c r="W36" s="413">
        <f t="shared" si="4"/>
        <v>238036.40000000005</v>
      </c>
      <c r="AC36" s="311" t="s">
        <v>1757</v>
      </c>
      <c r="AD36" s="338">
        <v>123750</v>
      </c>
      <c r="AE36" s="323">
        <v>123750</v>
      </c>
      <c r="AF36" s="323">
        <v>123750</v>
      </c>
      <c r="AG36" s="323">
        <v>123750</v>
      </c>
      <c r="AH36" s="323">
        <v>123750</v>
      </c>
      <c r="AI36" s="323">
        <v>123750</v>
      </c>
      <c r="AJ36" s="323">
        <v>123750</v>
      </c>
      <c r="AK36" s="323">
        <v>123750</v>
      </c>
      <c r="AL36" s="323">
        <v>123750</v>
      </c>
      <c r="AM36" s="323">
        <v>123750</v>
      </c>
      <c r="AN36" s="324">
        <v>123750</v>
      </c>
    </row>
    <row r="37" spans="1:40">
      <c r="A37" s="405" t="s">
        <v>48</v>
      </c>
      <c r="B37" s="161" t="s">
        <v>568</v>
      </c>
      <c r="C37" s="285">
        <v>0</v>
      </c>
      <c r="D37" s="285">
        <v>0</v>
      </c>
      <c r="E37" s="285">
        <v>0</v>
      </c>
      <c r="F37" s="285">
        <v>0</v>
      </c>
      <c r="G37" s="285">
        <v>0</v>
      </c>
      <c r="H37" s="285">
        <v>0</v>
      </c>
      <c r="I37" s="285">
        <v>0</v>
      </c>
      <c r="J37" s="285">
        <v>5</v>
      </c>
      <c r="K37" s="285">
        <v>0</v>
      </c>
      <c r="L37" s="285">
        <v>0</v>
      </c>
      <c r="M37" s="285">
        <v>0</v>
      </c>
      <c r="N37" s="285">
        <v>0</v>
      </c>
      <c r="O37" s="285">
        <v>5</v>
      </c>
      <c r="Q37" s="413">
        <f t="shared" si="5"/>
        <v>5</v>
      </c>
      <c r="R37" s="413">
        <f t="shared" si="6"/>
        <v>10</v>
      </c>
      <c r="S37" s="413">
        <f t="shared" si="7"/>
        <v>0</v>
      </c>
      <c r="V37" s="72" t="s">
        <v>62</v>
      </c>
      <c r="W37" s="413">
        <f t="shared" si="4"/>
        <v>0</v>
      </c>
      <c r="AC37" s="311" t="s">
        <v>1758</v>
      </c>
      <c r="AD37" s="338">
        <v>0</v>
      </c>
      <c r="AE37" s="323">
        <v>0</v>
      </c>
      <c r="AF37" s="323">
        <v>0</v>
      </c>
      <c r="AG37" s="323">
        <v>0</v>
      </c>
      <c r="AH37" s="323">
        <v>0</v>
      </c>
      <c r="AI37" s="323">
        <v>0</v>
      </c>
      <c r="AJ37" s="323">
        <v>0</v>
      </c>
      <c r="AK37" s="323">
        <v>0</v>
      </c>
      <c r="AL37" s="323">
        <v>0</v>
      </c>
      <c r="AM37" s="323">
        <v>0</v>
      </c>
      <c r="AN37" s="324">
        <v>0</v>
      </c>
    </row>
    <row r="38" spans="1:40">
      <c r="A38" s="405" t="s">
        <v>48</v>
      </c>
      <c r="B38" s="161" t="s">
        <v>569</v>
      </c>
      <c r="C38" s="285">
        <v>13725</v>
      </c>
      <c r="D38" s="285">
        <v>13639.08</v>
      </c>
      <c r="E38" s="285">
        <v>13073.14</v>
      </c>
      <c r="F38" s="285">
        <v>13542.56</v>
      </c>
      <c r="G38" s="285">
        <v>13643.96</v>
      </c>
      <c r="H38" s="285">
        <v>13598.29</v>
      </c>
      <c r="I38" s="285">
        <v>13289.51</v>
      </c>
      <c r="J38" s="285">
        <v>13015.55</v>
      </c>
      <c r="K38" s="285">
        <v>13147.75</v>
      </c>
      <c r="L38" s="285">
        <v>13022.73</v>
      </c>
      <c r="M38" s="285">
        <v>13594.01</v>
      </c>
      <c r="N38" s="285">
        <v>13314.53</v>
      </c>
      <c r="O38" s="285">
        <v>160606.10999999999</v>
      </c>
      <c r="Q38" s="413">
        <f t="shared" si="5"/>
        <v>160606.11000000002</v>
      </c>
      <c r="R38" s="413">
        <f t="shared" si="6"/>
        <v>158768.15999999997</v>
      </c>
      <c r="S38" s="413">
        <f t="shared" si="7"/>
        <v>159725.07999999999</v>
      </c>
      <c r="V38" s="72" t="s">
        <v>63</v>
      </c>
      <c r="W38" s="413">
        <f t="shared" si="4"/>
        <v>0</v>
      </c>
      <c r="AC38" s="311" t="s">
        <v>1759</v>
      </c>
      <c r="AD38" s="338">
        <v>387582.99999999994</v>
      </c>
      <c r="AE38" s="323">
        <v>387582.99999999994</v>
      </c>
      <c r="AF38" s="323">
        <v>406962.15000000008</v>
      </c>
      <c r="AG38" s="323">
        <v>427310.25749999989</v>
      </c>
      <c r="AH38" s="323">
        <v>448675.77037500008</v>
      </c>
      <c r="AI38" s="323">
        <v>471109.55889375013</v>
      </c>
      <c r="AJ38" s="323">
        <v>494665.03683843766</v>
      </c>
      <c r="AK38" s="323">
        <v>519398.28868035966</v>
      </c>
      <c r="AL38" s="323">
        <v>545368.20311437757</v>
      </c>
      <c r="AM38" s="323">
        <v>572636.61327009636</v>
      </c>
      <c r="AN38" s="324">
        <v>601268.44393360114</v>
      </c>
    </row>
    <row r="39" spans="1:40">
      <c r="A39" s="405" t="s">
        <v>48</v>
      </c>
      <c r="B39" s="161" t="s">
        <v>570</v>
      </c>
      <c r="C39" s="285">
        <v>19604.18</v>
      </c>
      <c r="D39" s="285">
        <v>19942.16</v>
      </c>
      <c r="E39" s="285">
        <v>20778.64</v>
      </c>
      <c r="F39" s="285">
        <v>21955.42</v>
      </c>
      <c r="G39" s="285">
        <v>21638.14</v>
      </c>
      <c r="H39" s="285">
        <v>21098.62</v>
      </c>
      <c r="I39" s="285">
        <v>28712.46</v>
      </c>
      <c r="J39" s="285">
        <v>28448.09</v>
      </c>
      <c r="K39" s="285">
        <v>24277.72</v>
      </c>
      <c r="L39" s="285">
        <v>18897.34</v>
      </c>
      <c r="M39" s="285">
        <v>19324.650000000001</v>
      </c>
      <c r="N39" s="285">
        <v>20444.21</v>
      </c>
      <c r="O39" s="285">
        <v>265121.63</v>
      </c>
      <c r="Q39" s="413">
        <f t="shared" si="5"/>
        <v>265121.63</v>
      </c>
      <c r="R39" s="413">
        <f t="shared" si="6"/>
        <v>280208.94</v>
      </c>
      <c r="S39" s="413">
        <f t="shared" si="7"/>
        <v>234664.80000000002</v>
      </c>
      <c r="U39" s="160" t="str">
        <f>IF(W39=O138,"YES","NO")</f>
        <v>YES</v>
      </c>
      <c r="V39" s="99" t="s">
        <v>64</v>
      </c>
      <c r="W39" s="413">
        <f>SUM(W27:W38)</f>
        <v>2434555.5500000003</v>
      </c>
      <c r="AC39" s="309" t="s">
        <v>1760</v>
      </c>
      <c r="AD39" s="319">
        <v>314494.13288564753</v>
      </c>
      <c r="AE39" s="325">
        <v>301950.21863038628</v>
      </c>
      <c r="AF39" s="325">
        <v>321744.31433191203</v>
      </c>
      <c r="AG39" s="325">
        <v>342240.66703530587</v>
      </c>
      <c r="AH39" s="325">
        <v>358602.33881522896</v>
      </c>
      <c r="AI39" s="325">
        <v>371946.32029506372</v>
      </c>
      <c r="AJ39" s="325">
        <v>384722.73410933849</v>
      </c>
      <c r="AK39" s="325">
        <v>396312.68148026889</v>
      </c>
      <c r="AL39" s="325">
        <v>407951.67667990137</v>
      </c>
      <c r="AM39" s="325">
        <v>419930.64017009293</v>
      </c>
      <c r="AN39" s="326">
        <v>432259.5585887417</v>
      </c>
    </row>
    <row r="40" spans="1:40">
      <c r="A40" s="405" t="s">
        <v>48</v>
      </c>
      <c r="B40" s="161" t="s">
        <v>571</v>
      </c>
      <c r="C40" s="285">
        <v>1727.91</v>
      </c>
      <c r="D40" s="285">
        <v>1599.61</v>
      </c>
      <c r="E40" s="285">
        <v>2261.64</v>
      </c>
      <c r="F40" s="285">
        <v>1607.7</v>
      </c>
      <c r="G40" s="285">
        <v>1578.72</v>
      </c>
      <c r="H40" s="285">
        <v>2256.44</v>
      </c>
      <c r="I40" s="285">
        <v>2475.36</v>
      </c>
      <c r="J40" s="285">
        <v>3856.12</v>
      </c>
      <c r="K40" s="285">
        <v>3533.05</v>
      </c>
      <c r="L40" s="285">
        <v>2044.64</v>
      </c>
      <c r="M40" s="285">
        <v>2000.75</v>
      </c>
      <c r="N40" s="285">
        <v>2241.36</v>
      </c>
      <c r="O40" s="285">
        <v>27183.3</v>
      </c>
      <c r="Q40" s="413">
        <f t="shared" si="5"/>
        <v>27183.3</v>
      </c>
      <c r="R40" s="413">
        <f t="shared" si="6"/>
        <v>32302.559999999998</v>
      </c>
      <c r="S40" s="413">
        <f t="shared" si="7"/>
        <v>25147</v>
      </c>
      <c r="W40" s="413"/>
      <c r="AC40" s="312" t="s">
        <v>1741</v>
      </c>
      <c r="AD40" s="333">
        <v>2545923.7393856477</v>
      </c>
      <c r="AE40" s="327">
        <v>2588091.8627303857</v>
      </c>
      <c r="AF40" s="327">
        <v>2807002.4376349123</v>
      </c>
      <c r="AG40" s="327">
        <v>2905157.2634606455</v>
      </c>
      <c r="AH40" s="327">
        <v>3003240.1382833291</v>
      </c>
      <c r="AI40" s="327">
        <v>3101184.2691547074</v>
      </c>
      <c r="AJ40" s="327">
        <v>3201547.5126126455</v>
      </c>
      <c r="AK40" s="327">
        <v>3303823.0040754448</v>
      </c>
      <c r="AL40" s="327">
        <v>3409362.7747265394</v>
      </c>
      <c r="AM40" s="327">
        <v>3518578.9352204185</v>
      </c>
      <c r="AN40" s="328">
        <v>3631607.5347559787</v>
      </c>
    </row>
    <row r="41" spans="1:40">
      <c r="A41" s="405" t="s">
        <v>48</v>
      </c>
      <c r="B41" s="161" t="s">
        <v>572</v>
      </c>
      <c r="C41" s="285">
        <v>4598.67</v>
      </c>
      <c r="D41" s="285">
        <v>4570.12</v>
      </c>
      <c r="E41" s="285">
        <v>4375.3100000000004</v>
      </c>
      <c r="F41" s="285">
        <v>4520.93</v>
      </c>
      <c r="G41" s="285">
        <v>4560.3100000000004</v>
      </c>
      <c r="H41" s="285">
        <v>4536.34</v>
      </c>
      <c r="I41" s="285">
        <v>4438.32</v>
      </c>
      <c r="J41" s="285">
        <v>4357.33</v>
      </c>
      <c r="K41" s="285">
        <v>4392.6099999999997</v>
      </c>
      <c r="L41" s="285">
        <v>4340.92</v>
      </c>
      <c r="M41" s="285">
        <v>4558.41</v>
      </c>
      <c r="N41" s="285">
        <v>4440.9799999999996</v>
      </c>
      <c r="O41" s="285">
        <v>53690.25</v>
      </c>
      <c r="Q41" s="413">
        <f t="shared" si="5"/>
        <v>53690.25</v>
      </c>
      <c r="R41" s="413">
        <f t="shared" si="6"/>
        <v>53057.14</v>
      </c>
      <c r="S41" s="413">
        <f t="shared" si="7"/>
        <v>53361.24</v>
      </c>
      <c r="V41" s="69" t="s">
        <v>65</v>
      </c>
      <c r="W41" s="413">
        <f>W39/W25</f>
        <v>0.28822493560421086</v>
      </c>
      <c r="AC41" s="313" t="s">
        <v>1742</v>
      </c>
      <c r="AD41" s="329"/>
      <c r="AE41" s="329">
        <v>0.29999387185887538</v>
      </c>
      <c r="AF41" s="329">
        <v>0.30535142639963525</v>
      </c>
      <c r="AG41" s="329">
        <v>0.29710234351148324</v>
      </c>
      <c r="AH41" s="329">
        <v>0.29311968568636843</v>
      </c>
      <c r="AI41" s="329">
        <v>0.29182019957694222</v>
      </c>
      <c r="AJ41" s="329">
        <v>0.29125953058338561</v>
      </c>
      <c r="AK41" s="329">
        <v>0.29177417364172231</v>
      </c>
      <c r="AL41" s="329">
        <v>0.29250448995962613</v>
      </c>
      <c r="AM41" s="329">
        <v>0.29326334149571137</v>
      </c>
      <c r="AN41" s="330">
        <v>0.29405078775224974</v>
      </c>
    </row>
    <row r="42" spans="1:40">
      <c r="A42" s="405" t="s">
        <v>48</v>
      </c>
      <c r="B42" s="161" t="s">
        <v>573</v>
      </c>
      <c r="C42" s="285">
        <v>2300.66</v>
      </c>
      <c r="D42" s="285">
        <v>2283.7399999999998</v>
      </c>
      <c r="E42" s="285">
        <v>2187.69</v>
      </c>
      <c r="F42" s="285">
        <v>2260.5</v>
      </c>
      <c r="G42" s="285">
        <v>2280.17</v>
      </c>
      <c r="H42" s="285">
        <v>2268.14</v>
      </c>
      <c r="I42" s="285">
        <v>2219.13</v>
      </c>
      <c r="J42" s="285">
        <v>2178.67</v>
      </c>
      <c r="K42" s="285">
        <v>2196.29</v>
      </c>
      <c r="L42" s="285">
        <v>2175.4699999999998</v>
      </c>
      <c r="M42" s="285">
        <v>2279.2800000000002</v>
      </c>
      <c r="N42" s="285">
        <v>2220.4899999999998</v>
      </c>
      <c r="O42" s="285">
        <v>26850.23</v>
      </c>
      <c r="Q42" s="413">
        <f t="shared" si="5"/>
        <v>26850.229999999996</v>
      </c>
      <c r="R42" s="413">
        <f t="shared" si="6"/>
        <v>26538.66</v>
      </c>
      <c r="S42" s="413">
        <f t="shared" si="7"/>
        <v>26700.959999999999</v>
      </c>
      <c r="W42" s="413"/>
      <c r="AC42" s="313" t="s">
        <v>1743</v>
      </c>
      <c r="AD42" s="329"/>
      <c r="AE42" s="329">
        <v>4.4925965152571232E-2</v>
      </c>
      <c r="AF42" s="329">
        <v>4.4270169247827652E-2</v>
      </c>
      <c r="AG42" s="329">
        <v>4.3699830128478383E-2</v>
      </c>
      <c r="AH42" s="329">
        <v>4.3791270338636466E-2</v>
      </c>
      <c r="AI42" s="329">
        <v>4.4331221097175313E-2</v>
      </c>
      <c r="AJ42" s="329">
        <v>4.5001957915034134E-2</v>
      </c>
      <c r="AK42" s="329">
        <v>4.5870195311218311E-2</v>
      </c>
      <c r="AL42" s="329">
        <v>4.6789578766654988E-2</v>
      </c>
      <c r="AM42" s="329">
        <v>4.7727599625345861E-2</v>
      </c>
      <c r="AN42" s="330">
        <v>4.8684627371532563E-2</v>
      </c>
    </row>
    <row r="43" spans="1:40" ht="13.5" thickBot="1">
      <c r="A43" s="405" t="s">
        <v>48</v>
      </c>
      <c r="B43" s="161" t="s">
        <v>574</v>
      </c>
      <c r="C43" s="285">
        <v>64.209999999999994</v>
      </c>
      <c r="D43" s="285">
        <v>0</v>
      </c>
      <c r="E43" s="285">
        <v>0</v>
      </c>
      <c r="F43" s="285">
        <v>0</v>
      </c>
      <c r="G43" s="285">
        <v>0</v>
      </c>
      <c r="H43" s="285">
        <v>0</v>
      </c>
      <c r="I43" s="285">
        <v>1793.74</v>
      </c>
      <c r="J43" s="285">
        <v>-201.45</v>
      </c>
      <c r="K43" s="285">
        <v>0</v>
      </c>
      <c r="L43" s="285">
        <v>0</v>
      </c>
      <c r="M43" s="285">
        <v>0</v>
      </c>
      <c r="N43" s="285">
        <v>0</v>
      </c>
      <c r="O43" s="285">
        <v>1656.5</v>
      </c>
      <c r="Q43" s="414">
        <f t="shared" si="5"/>
        <v>1656.5</v>
      </c>
      <c r="R43" s="414">
        <f t="shared" si="6"/>
        <v>3184.58</v>
      </c>
      <c r="S43" s="414">
        <f t="shared" si="7"/>
        <v>0</v>
      </c>
      <c r="U43" s="160" t="str">
        <f>IF(W43=O140,"YES","NO")</f>
        <v>YES</v>
      </c>
      <c r="V43" s="99" t="s">
        <v>66</v>
      </c>
      <c r="W43" s="413">
        <f>W25-W39</f>
        <v>6012165.2199999988</v>
      </c>
      <c r="AC43" s="314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2"/>
    </row>
    <row r="44" spans="1:40" ht="13.5" thickTop="1">
      <c r="B44" s="161" t="s">
        <v>575</v>
      </c>
      <c r="C44" s="286">
        <v>72554.69</v>
      </c>
      <c r="D44" s="286">
        <v>81648.240000000005</v>
      </c>
      <c r="E44" s="286">
        <v>77164.350000000006</v>
      </c>
      <c r="F44" s="286">
        <v>84320.39</v>
      </c>
      <c r="G44" s="286">
        <v>88542.84</v>
      </c>
      <c r="H44" s="286">
        <v>85591.57</v>
      </c>
      <c r="I44" s="286">
        <v>83931.49</v>
      </c>
      <c r="J44" s="286">
        <v>93970.05</v>
      </c>
      <c r="K44" s="286">
        <v>93770.07</v>
      </c>
      <c r="L44" s="286">
        <v>95085.67</v>
      </c>
      <c r="M44" s="286">
        <v>89318.71</v>
      </c>
      <c r="N44" s="286">
        <v>85973.21</v>
      </c>
      <c r="O44" s="286">
        <v>1031871.28</v>
      </c>
      <c r="Q44" s="415">
        <f>SUM(Q27:Q43)</f>
        <v>1031871.2800000001</v>
      </c>
      <c r="R44" s="415">
        <f t="shared" ref="R44:S44" si="8">SUM(R27:R43)</f>
        <v>1084098.3999999999</v>
      </c>
      <c r="S44" s="415">
        <f t="shared" si="8"/>
        <v>1081510.3600000001</v>
      </c>
      <c r="T44" s="223"/>
      <c r="U44" s="223"/>
      <c r="W44" s="413"/>
      <c r="AC44" s="312" t="s">
        <v>1744</v>
      </c>
      <c r="AD44" s="333">
        <v>6439622.9144899957</v>
      </c>
      <c r="AE44" s="333">
        <v>6039057.2409949359</v>
      </c>
      <c r="AF44" s="333">
        <v>6385692.2575625731</v>
      </c>
      <c r="AG44" s="333">
        <v>6873147.5089766644</v>
      </c>
      <c r="AH44" s="333">
        <v>7242540.9707232136</v>
      </c>
      <c r="AI44" s="333">
        <v>7525853.4535613991</v>
      </c>
      <c r="AJ44" s="333">
        <v>7790530.6047970252</v>
      </c>
      <c r="AK44" s="333">
        <v>8019396.4667893816</v>
      </c>
      <c r="AL44" s="333">
        <v>8246399.416127786</v>
      </c>
      <c r="AM44" s="333">
        <v>8479439.3553536646</v>
      </c>
      <c r="AN44" s="334">
        <v>8718665.5677795</v>
      </c>
    </row>
    <row r="45" spans="1:40">
      <c r="B45" s="539" t="s">
        <v>105</v>
      </c>
      <c r="C45" s="539"/>
      <c r="D45" s="539"/>
      <c r="E45" s="539"/>
      <c r="F45" s="539"/>
      <c r="G45" s="539"/>
      <c r="H45" s="539"/>
      <c r="I45" s="539"/>
      <c r="J45" s="539"/>
      <c r="K45" s="539"/>
      <c r="L45" s="539"/>
      <c r="M45" s="539"/>
      <c r="N45" s="539"/>
      <c r="O45" s="539"/>
      <c r="Q45" s="271"/>
      <c r="R45" s="269"/>
      <c r="S45" s="269"/>
      <c r="T45" s="269"/>
      <c r="U45" s="269"/>
      <c r="V45" s="122" t="s">
        <v>69</v>
      </c>
      <c r="W45" s="413">
        <f>SUMIF(A:A,$V45,O:O)</f>
        <v>0</v>
      </c>
    </row>
    <row r="46" spans="1:40">
      <c r="B46" s="161" t="s">
        <v>576</v>
      </c>
      <c r="C46" s="161" t="s">
        <v>108</v>
      </c>
      <c r="D46" s="161" t="s">
        <v>108</v>
      </c>
      <c r="E46" s="161" t="s">
        <v>108</v>
      </c>
      <c r="F46" s="161" t="s">
        <v>108</v>
      </c>
      <c r="G46" s="161" t="s">
        <v>108</v>
      </c>
      <c r="H46" s="161" t="s">
        <v>108</v>
      </c>
      <c r="I46" s="161" t="s">
        <v>108</v>
      </c>
      <c r="J46" s="161" t="s">
        <v>108</v>
      </c>
      <c r="K46" s="161" t="s">
        <v>108</v>
      </c>
      <c r="L46" s="161" t="s">
        <v>108</v>
      </c>
      <c r="M46" s="161" t="s">
        <v>108</v>
      </c>
      <c r="N46" s="161" t="s">
        <v>108</v>
      </c>
      <c r="O46" s="161" t="s">
        <v>108</v>
      </c>
      <c r="V46" s="122" t="s">
        <v>70</v>
      </c>
      <c r="W46" s="413">
        <f>SUMIF(A:A,$V46,O:O)</f>
        <v>0</v>
      </c>
    </row>
    <row r="47" spans="1:40">
      <c r="A47" s="405" t="s">
        <v>48</v>
      </c>
      <c r="B47" s="161" t="s">
        <v>577</v>
      </c>
      <c r="C47" s="285">
        <v>11099.61</v>
      </c>
      <c r="D47" s="285">
        <v>10261.56</v>
      </c>
      <c r="E47" s="285">
        <v>34.159999999999997</v>
      </c>
      <c r="F47" s="285">
        <v>35.409999999999997</v>
      </c>
      <c r="G47" s="285">
        <v>35.54</v>
      </c>
      <c r="H47" s="285">
        <v>33.58</v>
      </c>
      <c r="I47" s="285">
        <v>33.42</v>
      </c>
      <c r="J47" s="285">
        <v>30.45</v>
      </c>
      <c r="K47" s="285">
        <v>30.04</v>
      </c>
      <c r="L47" s="285">
        <v>29.42</v>
      </c>
      <c r="M47" s="285">
        <v>26.64</v>
      </c>
      <c r="N47" s="285">
        <v>29.57</v>
      </c>
      <c r="O47" s="285">
        <v>21679.4</v>
      </c>
      <c r="Q47" s="483">
        <f t="shared" ref="Q47" si="9">IF(SUM(C47:N47)=0,0,SUM(C47:N47))</f>
        <v>21679.399999999998</v>
      </c>
      <c r="R47" s="483">
        <f t="shared" ref="R47" si="10">IF(Q47=0,0,SUM(I47:N47)*2)</f>
        <v>359.08</v>
      </c>
      <c r="S47" s="483">
        <f t="shared" ref="S47" si="11">IF(Q47=0,0,SUM(L47:N47)*4)</f>
        <v>342.52</v>
      </c>
      <c r="V47" s="124" t="s">
        <v>71</v>
      </c>
      <c r="W47" s="413">
        <f>SUM(W45:W46)</f>
        <v>0</v>
      </c>
    </row>
    <row r="48" spans="1:40">
      <c r="B48" s="161" t="s">
        <v>578</v>
      </c>
      <c r="C48" s="286">
        <v>11099.61</v>
      </c>
      <c r="D48" s="286">
        <v>10261.56</v>
      </c>
      <c r="E48" s="286">
        <v>34.159999999999997</v>
      </c>
      <c r="F48" s="286">
        <v>35.409999999999997</v>
      </c>
      <c r="G48" s="286">
        <v>35.54</v>
      </c>
      <c r="H48" s="286">
        <v>33.58</v>
      </c>
      <c r="I48" s="286">
        <v>33.42</v>
      </c>
      <c r="J48" s="286">
        <v>30.45</v>
      </c>
      <c r="K48" s="286">
        <v>30.04</v>
      </c>
      <c r="L48" s="286">
        <v>29.42</v>
      </c>
      <c r="M48" s="286">
        <v>26.64</v>
      </c>
      <c r="N48" s="286">
        <v>29.57</v>
      </c>
      <c r="O48" s="286">
        <v>21679.4</v>
      </c>
      <c r="Q48" s="415">
        <f>SUM(Q47)</f>
        <v>21679.399999999998</v>
      </c>
      <c r="R48" s="415">
        <f t="shared" ref="R48:S48" si="12">SUM(R47)</f>
        <v>359.08</v>
      </c>
      <c r="S48" s="415">
        <f t="shared" si="12"/>
        <v>342.52</v>
      </c>
      <c r="W48" s="413"/>
    </row>
    <row r="49" spans="1:53">
      <c r="B49" s="161" t="s">
        <v>579</v>
      </c>
      <c r="C49" s="286">
        <v>727614.72</v>
      </c>
      <c r="D49" s="286">
        <v>739748.7</v>
      </c>
      <c r="E49" s="286">
        <v>700932.02</v>
      </c>
      <c r="F49" s="286">
        <v>721052.45</v>
      </c>
      <c r="G49" s="286">
        <v>703915.86</v>
      </c>
      <c r="H49" s="286">
        <v>679666.11</v>
      </c>
      <c r="I49" s="286">
        <v>693223.9</v>
      </c>
      <c r="J49" s="286">
        <v>703333.83</v>
      </c>
      <c r="K49" s="286">
        <v>714292.67</v>
      </c>
      <c r="L49" s="286">
        <v>674668.87</v>
      </c>
      <c r="M49" s="286">
        <v>696897.33</v>
      </c>
      <c r="N49" s="286">
        <v>691374.31</v>
      </c>
      <c r="O49" s="286">
        <v>8446720.7699999996</v>
      </c>
      <c r="Q49" s="415">
        <f>Q48+Q44+Q24</f>
        <v>8446720.7699999996</v>
      </c>
      <c r="R49" s="415">
        <f t="shared" ref="R49:S49" si="13">R48+R44+R24</f>
        <v>8347581.8200000022</v>
      </c>
      <c r="S49" s="415">
        <f t="shared" si="13"/>
        <v>8251762.04</v>
      </c>
      <c r="V49" s="124" t="s">
        <v>72</v>
      </c>
      <c r="W49" s="413">
        <f>W43-W47</f>
        <v>6012165.2199999988</v>
      </c>
      <c r="X49" s="223"/>
      <c r="AH49" s="275"/>
      <c r="AT49" s="275"/>
    </row>
    <row r="50" spans="1:53">
      <c r="B50" s="539" t="s">
        <v>105</v>
      </c>
      <c r="C50" s="539"/>
      <c r="D50" s="539"/>
      <c r="E50" s="539"/>
      <c r="F50" s="539"/>
      <c r="G50" s="539"/>
      <c r="H50" s="539"/>
      <c r="I50" s="539"/>
      <c r="J50" s="539"/>
      <c r="K50" s="539"/>
      <c r="L50" s="539"/>
      <c r="M50" s="539"/>
      <c r="N50" s="539"/>
      <c r="O50" s="539"/>
      <c r="W50" s="413"/>
      <c r="X50" s="269"/>
      <c r="AD50" s="275"/>
      <c r="AE50" s="275"/>
      <c r="AF50" s="275"/>
      <c r="AG50" s="275"/>
      <c r="AH50" s="275"/>
      <c r="AI50" s="275"/>
      <c r="AJ50" s="275"/>
      <c r="AK50" s="275"/>
      <c r="AL50" s="275"/>
      <c r="AM50" s="275"/>
      <c r="AN50" s="275"/>
      <c r="AO50" s="275"/>
      <c r="AP50" s="275"/>
      <c r="AQ50" s="275"/>
      <c r="AR50" s="275"/>
      <c r="AS50" s="275"/>
      <c r="AT50" s="275"/>
      <c r="AU50" s="275"/>
      <c r="AV50" s="275"/>
      <c r="AW50" s="275"/>
      <c r="AX50" s="275"/>
      <c r="AY50" s="275"/>
      <c r="AZ50" s="275"/>
      <c r="BA50" s="275"/>
    </row>
    <row r="51" spans="1:53">
      <c r="B51" s="539" t="s">
        <v>105</v>
      </c>
      <c r="C51" s="539"/>
      <c r="D51" s="539"/>
      <c r="E51" s="539"/>
      <c r="F51" s="539"/>
      <c r="G51" s="539"/>
      <c r="H51" s="539"/>
      <c r="I51" s="539"/>
      <c r="J51" s="539"/>
      <c r="K51" s="539"/>
      <c r="L51" s="539"/>
      <c r="M51" s="539"/>
      <c r="N51" s="539"/>
      <c r="O51" s="539"/>
      <c r="V51" s="69" t="s">
        <v>73</v>
      </c>
      <c r="W51" s="413">
        <f>SUMIF(A:A,$V51,O:O)</f>
        <v>0</v>
      </c>
      <c r="AA51" s="275"/>
      <c r="AB51" s="275"/>
      <c r="AC51" s="275"/>
      <c r="AD51" s="275"/>
      <c r="AE51" s="275"/>
      <c r="AF51" s="275"/>
      <c r="AG51" s="275"/>
      <c r="AH51" s="275"/>
      <c r="AI51" s="275"/>
      <c r="AJ51" s="275"/>
      <c r="AK51" s="275"/>
      <c r="AL51" s="275"/>
    </row>
    <row r="52" spans="1:53">
      <c r="B52" s="161" t="s">
        <v>580</v>
      </c>
      <c r="C52" s="161" t="s">
        <v>107</v>
      </c>
      <c r="D52" s="161" t="s">
        <v>107</v>
      </c>
      <c r="E52" s="161" t="s">
        <v>107</v>
      </c>
      <c r="F52" s="161" t="s">
        <v>107</v>
      </c>
      <c r="G52" s="161" t="s">
        <v>107</v>
      </c>
      <c r="H52" s="161" t="s">
        <v>107</v>
      </c>
      <c r="I52" s="161" t="s">
        <v>107</v>
      </c>
      <c r="J52" s="161" t="s">
        <v>107</v>
      </c>
      <c r="K52" s="161" t="s">
        <v>107</v>
      </c>
      <c r="L52" s="161" t="s">
        <v>107</v>
      </c>
      <c r="M52" s="161" t="s">
        <v>107</v>
      </c>
      <c r="N52" s="161" t="s">
        <v>107</v>
      </c>
      <c r="O52" s="161" t="s">
        <v>107</v>
      </c>
      <c r="Q52" s="275" t="s">
        <v>1732</v>
      </c>
      <c r="R52" s="413">
        <f>S48+S44+S20-S32</f>
        <v>1068023.8800000001</v>
      </c>
      <c r="V52" s="69" t="s">
        <v>74</v>
      </c>
      <c r="W52" s="413">
        <f>SUMIF(A:A,$V52,O:O)</f>
        <v>0</v>
      </c>
    </row>
    <row r="53" spans="1:53">
      <c r="B53" s="539" t="s">
        <v>105</v>
      </c>
      <c r="C53" s="539"/>
      <c r="D53" s="539"/>
      <c r="E53" s="539"/>
      <c r="F53" s="539"/>
      <c r="G53" s="539"/>
      <c r="H53" s="539"/>
      <c r="I53" s="539"/>
      <c r="J53" s="539"/>
      <c r="K53" s="539"/>
      <c r="L53" s="539"/>
      <c r="M53" s="539"/>
      <c r="N53" s="539"/>
      <c r="O53" s="539"/>
      <c r="Q53" s="275" t="s">
        <v>2252</v>
      </c>
      <c r="R53" s="413">
        <f>R21+R23</f>
        <v>-247860</v>
      </c>
      <c r="V53" s="69" t="s">
        <v>75</v>
      </c>
      <c r="W53" s="413">
        <f>SUMIF(A:A,$V53,O:O)</f>
        <v>0</v>
      </c>
    </row>
    <row r="54" spans="1:53">
      <c r="B54" s="161" t="s">
        <v>581</v>
      </c>
      <c r="C54" s="161" t="s">
        <v>108</v>
      </c>
      <c r="D54" s="161" t="s">
        <v>108</v>
      </c>
      <c r="E54" s="161" t="s">
        <v>108</v>
      </c>
      <c r="F54" s="161" t="s">
        <v>108</v>
      </c>
      <c r="G54" s="161" t="s">
        <v>108</v>
      </c>
      <c r="H54" s="161" t="s">
        <v>108</v>
      </c>
      <c r="I54" s="161" t="s">
        <v>108</v>
      </c>
      <c r="J54" s="161" t="s">
        <v>108</v>
      </c>
      <c r="K54" s="161" t="s">
        <v>108</v>
      </c>
      <c r="L54" s="161" t="s">
        <v>108</v>
      </c>
      <c r="M54" s="161" t="s">
        <v>108</v>
      </c>
      <c r="N54" s="161" t="s">
        <v>108</v>
      </c>
      <c r="O54" s="161" t="s">
        <v>108</v>
      </c>
      <c r="Q54" s="275" t="s">
        <v>2253</v>
      </c>
      <c r="R54" s="160">
        <f>AR!AB1</f>
        <v>0</v>
      </c>
      <c r="V54" s="69"/>
      <c r="W54" s="413"/>
    </row>
    <row r="55" spans="1:53">
      <c r="B55" s="161" t="s">
        <v>582</v>
      </c>
      <c r="C55" s="285">
        <v>1384.92</v>
      </c>
      <c r="D55" s="285">
        <v>892.09</v>
      </c>
      <c r="E55" s="285">
        <v>650.35</v>
      </c>
      <c r="F55" s="285">
        <v>686.72</v>
      </c>
      <c r="G55" s="285">
        <v>12655.23</v>
      </c>
      <c r="H55" s="285">
        <v>4831.83</v>
      </c>
      <c r="I55" s="285">
        <v>5020.92</v>
      </c>
      <c r="J55" s="285">
        <v>2882.6</v>
      </c>
      <c r="K55" s="285">
        <v>3122.58</v>
      </c>
      <c r="L55" s="285">
        <v>1935.15</v>
      </c>
      <c r="M55" s="285">
        <v>2415.04</v>
      </c>
      <c r="N55" s="285">
        <v>4381.7</v>
      </c>
      <c r="O55" s="285">
        <v>40859.129999999997</v>
      </c>
      <c r="Q55" s="275" t="s">
        <v>546</v>
      </c>
      <c r="R55" s="413">
        <f>SUM(R52:R53)</f>
        <v>820163.88000000012</v>
      </c>
      <c r="V55" s="69" t="s">
        <v>76</v>
      </c>
      <c r="W55" s="413">
        <f>W49-W51</f>
        <v>6012165.2199999988</v>
      </c>
    </row>
    <row r="56" spans="1:53">
      <c r="B56" s="161" t="s">
        <v>583</v>
      </c>
      <c r="C56" s="285">
        <v>1758.42</v>
      </c>
      <c r="D56" s="285">
        <v>1368.95</v>
      </c>
      <c r="E56" s="285">
        <v>2457.7399999999998</v>
      </c>
      <c r="F56" s="285">
        <v>3297.11</v>
      </c>
      <c r="G56" s="285">
        <v>3214.03</v>
      </c>
      <c r="H56" s="285">
        <v>2949.06</v>
      </c>
      <c r="I56" s="285">
        <v>2216.13</v>
      </c>
      <c r="J56" s="285">
        <v>1559.61</v>
      </c>
      <c r="K56" s="285">
        <v>1423.46</v>
      </c>
      <c r="L56" s="285">
        <v>940.57</v>
      </c>
      <c r="M56" s="285">
        <v>957.88</v>
      </c>
      <c r="N56" s="285">
        <v>1460.18</v>
      </c>
      <c r="O56" s="285">
        <v>23603.14</v>
      </c>
      <c r="V56" s="69"/>
      <c r="W56" s="413"/>
    </row>
    <row r="57" spans="1:53">
      <c r="B57" s="161" t="s">
        <v>584</v>
      </c>
      <c r="C57" s="285">
        <v>136.69</v>
      </c>
      <c r="D57" s="285">
        <v>150</v>
      </c>
      <c r="E57" s="285">
        <v>151.41999999999999</v>
      </c>
      <c r="F57" s="285">
        <v>170.25</v>
      </c>
      <c r="G57" s="285">
        <v>150</v>
      </c>
      <c r="H57" s="285">
        <v>170.7</v>
      </c>
      <c r="I57" s="285">
        <v>177.95</v>
      </c>
      <c r="J57" s="285">
        <v>150</v>
      </c>
      <c r="K57" s="285">
        <v>154.6</v>
      </c>
      <c r="L57" s="285">
        <v>150</v>
      </c>
      <c r="M57" s="285">
        <v>179.77</v>
      </c>
      <c r="N57" s="285">
        <v>182.06</v>
      </c>
      <c r="O57" s="285">
        <v>1923.44</v>
      </c>
      <c r="V57" s="99" t="s">
        <v>77</v>
      </c>
      <c r="W57" s="413"/>
    </row>
    <row r="58" spans="1:53">
      <c r="B58" s="161" t="s">
        <v>585</v>
      </c>
      <c r="C58" s="285">
        <v>14100.55</v>
      </c>
      <c r="D58" s="285">
        <v>23713.77</v>
      </c>
      <c r="E58" s="285">
        <v>23091.06</v>
      </c>
      <c r="F58" s="285">
        <v>23348.27</v>
      </c>
      <c r="G58" s="285">
        <v>24552.62</v>
      </c>
      <c r="H58" s="285">
        <v>30694.62</v>
      </c>
      <c r="I58" s="285">
        <v>23251.55</v>
      </c>
      <c r="J58" s="285">
        <v>3292.31</v>
      </c>
      <c r="K58" s="285">
        <v>14872.98</v>
      </c>
      <c r="L58" s="285">
        <v>22567.97</v>
      </c>
      <c r="M58" s="285">
        <v>36103.19</v>
      </c>
      <c r="N58" s="285">
        <v>6154.38</v>
      </c>
      <c r="O58" s="285">
        <v>245743.27</v>
      </c>
      <c r="V58" s="99" t="s">
        <v>78</v>
      </c>
      <c r="W58" s="413"/>
    </row>
    <row r="59" spans="1:53">
      <c r="B59" s="161" t="s">
        <v>2074</v>
      </c>
      <c r="C59" s="285">
        <v>0</v>
      </c>
      <c r="D59" s="285">
        <v>0</v>
      </c>
      <c r="E59" s="285">
        <v>0</v>
      </c>
      <c r="F59" s="285">
        <v>0</v>
      </c>
      <c r="G59" s="285">
        <v>0</v>
      </c>
      <c r="H59" s="285">
        <v>0</v>
      </c>
      <c r="I59" s="285">
        <v>0</v>
      </c>
      <c r="J59" s="285">
        <v>0</v>
      </c>
      <c r="K59" s="285">
        <v>0</v>
      </c>
      <c r="L59" s="285">
        <v>5520</v>
      </c>
      <c r="M59" s="285">
        <v>5550</v>
      </c>
      <c r="N59" s="285">
        <v>5556.95</v>
      </c>
      <c r="O59" s="285">
        <v>16626.95</v>
      </c>
      <c r="V59" s="99" t="s">
        <v>79</v>
      </c>
      <c r="W59" s="413"/>
    </row>
    <row r="60" spans="1:53">
      <c r="B60" s="161" t="s">
        <v>586</v>
      </c>
      <c r="C60" s="285">
        <v>700</v>
      </c>
      <c r="D60" s="285">
        <v>893.1</v>
      </c>
      <c r="E60" s="285">
        <v>589.95000000000005</v>
      </c>
      <c r="F60" s="285">
        <v>2589.33</v>
      </c>
      <c r="G60" s="285">
        <v>3461.45</v>
      </c>
      <c r="H60" s="285">
        <v>3414.9</v>
      </c>
      <c r="I60" s="285">
        <v>4491.2700000000004</v>
      </c>
      <c r="J60" s="285">
        <v>4240.6000000000004</v>
      </c>
      <c r="K60" s="285">
        <v>8251.26</v>
      </c>
      <c r="L60" s="285">
        <v>0</v>
      </c>
      <c r="M60" s="285">
        <v>0</v>
      </c>
      <c r="N60" s="285">
        <v>0</v>
      </c>
      <c r="O60" s="285">
        <v>28631.86</v>
      </c>
      <c r="V60" s="66"/>
      <c r="W60" s="413"/>
    </row>
    <row r="61" spans="1:53">
      <c r="B61" s="161" t="s">
        <v>2075</v>
      </c>
      <c r="C61" s="285">
        <v>0</v>
      </c>
      <c r="D61" s="285">
        <v>0</v>
      </c>
      <c r="E61" s="285">
        <v>0</v>
      </c>
      <c r="F61" s="285">
        <v>0</v>
      </c>
      <c r="G61" s="285">
        <v>0</v>
      </c>
      <c r="H61" s="285">
        <v>0</v>
      </c>
      <c r="I61" s="285">
        <v>0</v>
      </c>
      <c r="J61" s="285">
        <v>0</v>
      </c>
      <c r="K61" s="285">
        <v>0</v>
      </c>
      <c r="L61" s="285">
        <v>673.51</v>
      </c>
      <c r="M61" s="285">
        <v>678.4</v>
      </c>
      <c r="N61" s="285">
        <v>1101.4000000000001</v>
      </c>
      <c r="O61" s="285">
        <v>2453.31</v>
      </c>
      <c r="V61" s="99" t="s">
        <v>80</v>
      </c>
      <c r="W61" s="413"/>
    </row>
    <row r="62" spans="1:53">
      <c r="B62" s="161" t="s">
        <v>587</v>
      </c>
      <c r="C62" s="285">
        <v>3768.94</v>
      </c>
      <c r="D62" s="285">
        <v>4081.7</v>
      </c>
      <c r="E62" s="285">
        <v>4081.7</v>
      </c>
      <c r="F62" s="285">
        <v>4081.7</v>
      </c>
      <c r="G62" s="285">
        <v>4081.7</v>
      </c>
      <c r="H62" s="285">
        <v>4399.32</v>
      </c>
      <c r="I62" s="285">
        <v>4081.7</v>
      </c>
      <c r="J62" s="285">
        <v>4064.08</v>
      </c>
      <c r="K62" s="285">
        <v>5677.71</v>
      </c>
      <c r="L62" s="285">
        <v>3581.7</v>
      </c>
      <c r="M62" s="285">
        <v>4208.47</v>
      </c>
      <c r="N62" s="285">
        <v>5208.47</v>
      </c>
      <c r="O62" s="285">
        <v>51317.19</v>
      </c>
      <c r="V62" s="99" t="s">
        <v>81</v>
      </c>
      <c r="W62" s="413"/>
    </row>
    <row r="63" spans="1:53">
      <c r="A63" s="405" t="s">
        <v>54</v>
      </c>
      <c r="B63" s="161" t="s">
        <v>588</v>
      </c>
      <c r="C63" s="286">
        <v>21849.52</v>
      </c>
      <c r="D63" s="286">
        <v>31099.61</v>
      </c>
      <c r="E63" s="286">
        <v>31022.22</v>
      </c>
      <c r="F63" s="286">
        <v>34173.379999999997</v>
      </c>
      <c r="G63" s="286">
        <v>48115.03</v>
      </c>
      <c r="H63" s="286">
        <v>46460.43</v>
      </c>
      <c r="I63" s="286">
        <v>39239.519999999997</v>
      </c>
      <c r="J63" s="286">
        <v>16189.2</v>
      </c>
      <c r="K63" s="286">
        <v>33502.589999999997</v>
      </c>
      <c r="L63" s="286">
        <v>35368.9</v>
      </c>
      <c r="M63" s="286">
        <v>50092.75</v>
      </c>
      <c r="N63" s="286">
        <v>24045.14</v>
      </c>
      <c r="O63" s="286">
        <v>411158.29</v>
      </c>
      <c r="V63" s="99" t="s">
        <v>82</v>
      </c>
      <c r="W63" s="413"/>
    </row>
    <row r="64" spans="1:53">
      <c r="B64" s="539" t="s">
        <v>105</v>
      </c>
      <c r="C64" s="539"/>
      <c r="D64" s="539"/>
      <c r="E64" s="539"/>
      <c r="F64" s="539"/>
      <c r="G64" s="539"/>
      <c r="H64" s="539"/>
      <c r="I64" s="539"/>
      <c r="J64" s="539"/>
      <c r="K64" s="539"/>
      <c r="L64" s="539"/>
      <c r="M64" s="539"/>
      <c r="N64" s="539"/>
      <c r="O64" s="539"/>
    </row>
    <row r="65" spans="1:15">
      <c r="B65" s="161" t="s">
        <v>589</v>
      </c>
      <c r="C65" s="161" t="s">
        <v>108</v>
      </c>
      <c r="D65" s="161" t="s">
        <v>108</v>
      </c>
      <c r="E65" s="161" t="s">
        <v>108</v>
      </c>
      <c r="F65" s="161" t="s">
        <v>108</v>
      </c>
      <c r="G65" s="161" t="s">
        <v>108</v>
      </c>
      <c r="H65" s="161" t="s">
        <v>108</v>
      </c>
      <c r="I65" s="161" t="s">
        <v>108</v>
      </c>
      <c r="J65" s="161" t="s">
        <v>108</v>
      </c>
      <c r="K65" s="161" t="s">
        <v>108</v>
      </c>
      <c r="L65" s="161" t="s">
        <v>108</v>
      </c>
      <c r="M65" s="161" t="s">
        <v>108</v>
      </c>
      <c r="N65" s="161" t="s">
        <v>108</v>
      </c>
      <c r="O65" s="161" t="s">
        <v>108</v>
      </c>
    </row>
    <row r="66" spans="1:15">
      <c r="B66" s="161" t="s">
        <v>590</v>
      </c>
      <c r="C66" s="285">
        <v>7000</v>
      </c>
      <c r="D66" s="285">
        <v>7000</v>
      </c>
      <c r="E66" s="285">
        <v>7000</v>
      </c>
      <c r="F66" s="285">
        <v>7000</v>
      </c>
      <c r="G66" s="285">
        <v>7000</v>
      </c>
      <c r="H66" s="285">
        <v>7000</v>
      </c>
      <c r="I66" s="285">
        <v>7000</v>
      </c>
      <c r="J66" s="285">
        <v>7000</v>
      </c>
      <c r="K66" s="285">
        <v>7000</v>
      </c>
      <c r="L66" s="285">
        <v>7200</v>
      </c>
      <c r="M66" s="285">
        <v>7200</v>
      </c>
      <c r="N66" s="285">
        <v>7200</v>
      </c>
      <c r="O66" s="285">
        <v>84600</v>
      </c>
    </row>
    <row r="67" spans="1:15">
      <c r="B67" s="161" t="s">
        <v>591</v>
      </c>
      <c r="C67" s="285">
        <v>0</v>
      </c>
      <c r="D67" s="285">
        <v>2730</v>
      </c>
      <c r="E67" s="285">
        <v>0</v>
      </c>
      <c r="F67" s="285">
        <v>0</v>
      </c>
      <c r="G67" s="285">
        <v>0</v>
      </c>
      <c r="H67" s="285">
        <v>0</v>
      </c>
      <c r="I67" s="285">
        <v>989.99</v>
      </c>
      <c r="J67" s="285">
        <v>0</v>
      </c>
      <c r="K67" s="285">
        <v>0</v>
      </c>
      <c r="L67" s="285">
        <v>1175</v>
      </c>
      <c r="M67" s="285">
        <v>0</v>
      </c>
      <c r="N67" s="285">
        <v>0</v>
      </c>
      <c r="O67" s="285">
        <v>4894.99</v>
      </c>
    </row>
    <row r="68" spans="1:15">
      <c r="B68" s="161" t="s">
        <v>592</v>
      </c>
      <c r="C68" s="285">
        <v>1707.5</v>
      </c>
      <c r="D68" s="285">
        <v>1707</v>
      </c>
      <c r="E68" s="285">
        <v>1707</v>
      </c>
      <c r="F68" s="285">
        <v>1782</v>
      </c>
      <c r="G68" s="285">
        <v>1707</v>
      </c>
      <c r="H68" s="285">
        <v>1782</v>
      </c>
      <c r="I68" s="285">
        <v>1707</v>
      </c>
      <c r="J68" s="285">
        <v>1782</v>
      </c>
      <c r="K68" s="285">
        <v>1782</v>
      </c>
      <c r="L68" s="285">
        <v>1794.07</v>
      </c>
      <c r="M68" s="285">
        <v>1719.07</v>
      </c>
      <c r="N68" s="285">
        <v>1719.07</v>
      </c>
      <c r="O68" s="285">
        <v>20895.71</v>
      </c>
    </row>
    <row r="69" spans="1:15">
      <c r="B69" s="161" t="s">
        <v>593</v>
      </c>
      <c r="C69" s="285">
        <v>42.95</v>
      </c>
      <c r="D69" s="285">
        <v>42.95</v>
      </c>
      <c r="E69" s="285">
        <v>42.95</v>
      </c>
      <c r="F69" s="285">
        <v>42.95</v>
      </c>
      <c r="G69" s="285">
        <v>85.9</v>
      </c>
      <c r="H69" s="285">
        <v>0</v>
      </c>
      <c r="I69" s="285">
        <v>0</v>
      </c>
      <c r="J69" s="285">
        <v>0</v>
      </c>
      <c r="K69" s="285">
        <v>0</v>
      </c>
      <c r="L69" s="285">
        <v>171.8</v>
      </c>
      <c r="M69" s="285">
        <v>56.95</v>
      </c>
      <c r="N69" s="285">
        <v>56.95</v>
      </c>
      <c r="O69" s="285">
        <v>543.4</v>
      </c>
    </row>
    <row r="70" spans="1:15">
      <c r="B70" s="161" t="s">
        <v>594</v>
      </c>
      <c r="C70" s="285">
        <v>323.35000000000002</v>
      </c>
      <c r="D70" s="285">
        <v>1049.76</v>
      </c>
      <c r="E70" s="285">
        <v>646.70000000000005</v>
      </c>
      <c r="F70" s="285">
        <v>323.35000000000002</v>
      </c>
      <c r="G70" s="285">
        <v>323.35000000000002</v>
      </c>
      <c r="H70" s="285">
        <v>323.35000000000002</v>
      </c>
      <c r="I70" s="285">
        <v>323.35000000000002</v>
      </c>
      <c r="J70" s="285">
        <v>345.2</v>
      </c>
      <c r="K70" s="285">
        <v>316.7</v>
      </c>
      <c r="L70" s="285">
        <v>533.92999999999995</v>
      </c>
      <c r="M70" s="285">
        <v>475</v>
      </c>
      <c r="N70" s="285">
        <v>475</v>
      </c>
      <c r="O70" s="285">
        <v>5459.04</v>
      </c>
    </row>
    <row r="71" spans="1:15">
      <c r="B71" s="161" t="s">
        <v>595</v>
      </c>
      <c r="C71" s="285">
        <v>2431.29</v>
      </c>
      <c r="D71" s="285">
        <v>2051.29</v>
      </c>
      <c r="E71" s="285">
        <v>3186.29</v>
      </c>
      <c r="F71" s="285">
        <v>2971.29</v>
      </c>
      <c r="G71" s="285">
        <v>2301.29</v>
      </c>
      <c r="H71" s="285">
        <v>2361.29</v>
      </c>
      <c r="I71" s="285">
        <v>1931.29</v>
      </c>
      <c r="J71" s="285">
        <v>2681.29</v>
      </c>
      <c r="K71" s="285">
        <v>2689.78</v>
      </c>
      <c r="L71" s="285">
        <v>2181.31</v>
      </c>
      <c r="M71" s="285">
        <v>2246.31</v>
      </c>
      <c r="N71" s="285">
        <v>2652.62</v>
      </c>
      <c r="O71" s="285">
        <v>29685.34</v>
      </c>
    </row>
    <row r="72" spans="1:15">
      <c r="B72" s="161" t="s">
        <v>596</v>
      </c>
      <c r="C72" s="285">
        <v>177.22</v>
      </c>
      <c r="D72" s="285">
        <v>88.61</v>
      </c>
      <c r="E72" s="285">
        <v>88.61</v>
      </c>
      <c r="F72" s="285">
        <v>88.61</v>
      </c>
      <c r="G72" s="285">
        <v>177.12</v>
      </c>
      <c r="H72" s="285">
        <v>88.56</v>
      </c>
      <c r="I72" s="285">
        <v>88.56</v>
      </c>
      <c r="J72" s="285">
        <v>88.56</v>
      </c>
      <c r="K72" s="285">
        <v>88.56</v>
      </c>
      <c r="L72" s="285">
        <v>90.72</v>
      </c>
      <c r="M72" s="285">
        <v>90.72</v>
      </c>
      <c r="N72" s="285">
        <v>181.44</v>
      </c>
      <c r="O72" s="285">
        <v>1337.29</v>
      </c>
    </row>
    <row r="73" spans="1:15">
      <c r="A73" s="405" t="s">
        <v>55</v>
      </c>
      <c r="B73" s="161" t="s">
        <v>597</v>
      </c>
      <c r="C73" s="286">
        <v>11682.31</v>
      </c>
      <c r="D73" s="286">
        <v>14669.61</v>
      </c>
      <c r="E73" s="286">
        <v>12671.55</v>
      </c>
      <c r="F73" s="286">
        <v>12208.2</v>
      </c>
      <c r="G73" s="286">
        <v>11594.66</v>
      </c>
      <c r="H73" s="286">
        <v>11555.2</v>
      </c>
      <c r="I73" s="286">
        <v>12040.19</v>
      </c>
      <c r="J73" s="286">
        <v>11897.05</v>
      </c>
      <c r="K73" s="286">
        <v>11877.04</v>
      </c>
      <c r="L73" s="286">
        <v>13146.83</v>
      </c>
      <c r="M73" s="286">
        <v>11788.05</v>
      </c>
      <c r="N73" s="286">
        <v>12285.08</v>
      </c>
      <c r="O73" s="286">
        <v>147415.76999999999</v>
      </c>
    </row>
    <row r="74" spans="1:15">
      <c r="B74" s="539" t="s">
        <v>105</v>
      </c>
      <c r="C74" s="539"/>
      <c r="D74" s="539"/>
      <c r="E74" s="539"/>
      <c r="F74" s="539"/>
      <c r="G74" s="539"/>
      <c r="H74" s="539"/>
      <c r="I74" s="539"/>
      <c r="J74" s="539"/>
      <c r="K74" s="539"/>
      <c r="L74" s="539"/>
      <c r="M74" s="539"/>
      <c r="N74" s="539"/>
      <c r="O74" s="539"/>
    </row>
    <row r="75" spans="1:15">
      <c r="B75" s="161" t="s">
        <v>598</v>
      </c>
      <c r="C75" s="161" t="s">
        <v>108</v>
      </c>
      <c r="D75" s="161" t="s">
        <v>108</v>
      </c>
      <c r="E75" s="161" t="s">
        <v>108</v>
      </c>
      <c r="F75" s="161" t="s">
        <v>108</v>
      </c>
      <c r="G75" s="161" t="s">
        <v>108</v>
      </c>
      <c r="H75" s="161" t="s">
        <v>108</v>
      </c>
      <c r="I75" s="161" t="s">
        <v>108</v>
      </c>
      <c r="J75" s="161" t="s">
        <v>108</v>
      </c>
      <c r="K75" s="161" t="s">
        <v>108</v>
      </c>
      <c r="L75" s="161" t="s">
        <v>108</v>
      </c>
      <c r="M75" s="161" t="s">
        <v>108</v>
      </c>
      <c r="N75" s="161" t="s">
        <v>108</v>
      </c>
      <c r="O75" s="161" t="s">
        <v>108</v>
      </c>
    </row>
    <row r="76" spans="1:15">
      <c r="B76" s="161" t="s">
        <v>599</v>
      </c>
      <c r="C76" s="285">
        <v>368.12</v>
      </c>
      <c r="D76" s="285">
        <v>0</v>
      </c>
      <c r="E76" s="285">
        <v>0</v>
      </c>
      <c r="F76" s="285">
        <v>0</v>
      </c>
      <c r="G76" s="285">
        <v>0</v>
      </c>
      <c r="H76" s="285">
        <v>0</v>
      </c>
      <c r="I76" s="285">
        <v>0</v>
      </c>
      <c r="J76" s="285">
        <v>0</v>
      </c>
      <c r="K76" s="285">
        <v>275.83</v>
      </c>
      <c r="L76" s="285">
        <v>0</v>
      </c>
      <c r="M76" s="285">
        <v>179.55</v>
      </c>
      <c r="N76" s="285">
        <v>0</v>
      </c>
      <c r="O76" s="285">
        <v>823.5</v>
      </c>
    </row>
    <row r="77" spans="1:15">
      <c r="B77" s="161" t="s">
        <v>600</v>
      </c>
      <c r="C77" s="285">
        <v>974.09</v>
      </c>
      <c r="D77" s="285">
        <v>1153.49</v>
      </c>
      <c r="E77" s="285">
        <v>894.24</v>
      </c>
      <c r="F77" s="285">
        <v>2897.73</v>
      </c>
      <c r="G77" s="285">
        <v>2361.2600000000002</v>
      </c>
      <c r="H77" s="285">
        <v>3608.49</v>
      </c>
      <c r="I77" s="285">
        <v>3457.88</v>
      </c>
      <c r="J77" s="285">
        <v>2173.2600000000002</v>
      </c>
      <c r="K77" s="285">
        <v>1092.69</v>
      </c>
      <c r="L77" s="285">
        <v>732.15</v>
      </c>
      <c r="M77" s="285">
        <v>1112.1099999999999</v>
      </c>
      <c r="N77" s="285">
        <v>0</v>
      </c>
      <c r="O77" s="285">
        <v>20457.39</v>
      </c>
    </row>
    <row r="78" spans="1:15">
      <c r="B78" s="161" t="s">
        <v>601</v>
      </c>
      <c r="C78" s="285">
        <v>714.48</v>
      </c>
      <c r="D78" s="285">
        <v>459.43</v>
      </c>
      <c r="E78" s="285">
        <v>195.43</v>
      </c>
      <c r="F78" s="285">
        <v>581.57000000000005</v>
      </c>
      <c r="G78" s="285">
        <v>0</v>
      </c>
      <c r="H78" s="285">
        <v>400.04</v>
      </c>
      <c r="I78" s="285">
        <v>316.45999999999998</v>
      </c>
      <c r="J78" s="285">
        <v>2311.21</v>
      </c>
      <c r="K78" s="285">
        <v>238.26</v>
      </c>
      <c r="L78" s="285">
        <v>0</v>
      </c>
      <c r="M78" s="285">
        <v>740.56</v>
      </c>
      <c r="N78" s="285">
        <v>0</v>
      </c>
      <c r="O78" s="285">
        <v>5957.44</v>
      </c>
    </row>
    <row r="79" spans="1:15">
      <c r="B79" s="161" t="s">
        <v>602</v>
      </c>
      <c r="C79" s="285">
        <v>875.31</v>
      </c>
      <c r="D79" s="285">
        <v>4047.52</v>
      </c>
      <c r="E79" s="285">
        <v>1480.53</v>
      </c>
      <c r="F79" s="285">
        <v>132.55000000000001</v>
      </c>
      <c r="G79" s="285">
        <v>1137.3900000000001</v>
      </c>
      <c r="H79" s="285">
        <v>2015.04</v>
      </c>
      <c r="I79" s="285">
        <v>157.22999999999999</v>
      </c>
      <c r="J79" s="285">
        <v>1102.98</v>
      </c>
      <c r="K79" s="285">
        <v>552.54999999999995</v>
      </c>
      <c r="L79" s="285">
        <v>6345.81</v>
      </c>
      <c r="M79" s="285">
        <v>4708.25</v>
      </c>
      <c r="N79" s="285">
        <v>4660.37</v>
      </c>
      <c r="O79" s="285">
        <v>27215.53</v>
      </c>
    </row>
    <row r="80" spans="1:15">
      <c r="B80" s="161" t="s">
        <v>603</v>
      </c>
      <c r="C80" s="285">
        <v>0</v>
      </c>
      <c r="D80" s="285">
        <v>1170</v>
      </c>
      <c r="E80" s="285">
        <v>0</v>
      </c>
      <c r="F80" s="285">
        <v>0</v>
      </c>
      <c r="G80" s="285">
        <v>0</v>
      </c>
      <c r="H80" s="285">
        <v>1400</v>
      </c>
      <c r="I80" s="285">
        <v>510</v>
      </c>
      <c r="J80" s="285">
        <v>-250</v>
      </c>
      <c r="K80" s="285">
        <v>100</v>
      </c>
      <c r="L80" s="285">
        <v>2045</v>
      </c>
      <c r="M80" s="285">
        <v>1080</v>
      </c>
      <c r="N80" s="285">
        <v>1380</v>
      </c>
      <c r="O80" s="285">
        <v>7435</v>
      </c>
    </row>
    <row r="81" spans="1:15">
      <c r="B81" s="161" t="s">
        <v>604</v>
      </c>
      <c r="C81" s="285">
        <v>0</v>
      </c>
      <c r="D81" s="285">
        <v>0</v>
      </c>
      <c r="E81" s="285">
        <v>0</v>
      </c>
      <c r="F81" s="285">
        <v>200</v>
      </c>
      <c r="G81" s="285">
        <v>0</v>
      </c>
      <c r="H81" s="285">
        <v>0</v>
      </c>
      <c r="I81" s="285">
        <v>0</v>
      </c>
      <c r="J81" s="285">
        <v>0</v>
      </c>
      <c r="K81" s="285">
        <v>0</v>
      </c>
      <c r="L81" s="285">
        <v>0</v>
      </c>
      <c r="M81" s="285">
        <v>0</v>
      </c>
      <c r="N81" s="285">
        <v>0</v>
      </c>
      <c r="O81" s="285">
        <v>200</v>
      </c>
    </row>
    <row r="82" spans="1:15">
      <c r="B82" s="161" t="s">
        <v>605</v>
      </c>
      <c r="C82" s="285">
        <v>3727.57</v>
      </c>
      <c r="D82" s="285">
        <v>1360.45</v>
      </c>
      <c r="E82" s="285">
        <v>2950.86</v>
      </c>
      <c r="F82" s="285">
        <v>2976.28</v>
      </c>
      <c r="G82" s="285">
        <v>3394.22</v>
      </c>
      <c r="H82" s="285">
        <v>1499.13</v>
      </c>
      <c r="I82" s="285">
        <v>2255.61</v>
      </c>
      <c r="J82" s="285">
        <v>648.34</v>
      </c>
      <c r="K82" s="285">
        <v>4696.24</v>
      </c>
      <c r="L82" s="285">
        <v>1878.73</v>
      </c>
      <c r="M82" s="285">
        <v>3675.81</v>
      </c>
      <c r="N82" s="285">
        <v>2810.22</v>
      </c>
      <c r="O82" s="285">
        <v>31873.46</v>
      </c>
    </row>
    <row r="83" spans="1:15">
      <c r="B83" s="161" t="s">
        <v>606</v>
      </c>
      <c r="C83" s="285">
        <v>846.47</v>
      </c>
      <c r="D83" s="285">
        <v>1741.26</v>
      </c>
      <c r="E83" s="285">
        <v>1741.46</v>
      </c>
      <c r="F83" s="285">
        <v>329.83</v>
      </c>
      <c r="G83" s="285">
        <v>527.29</v>
      </c>
      <c r="H83" s="285">
        <v>474.18</v>
      </c>
      <c r="I83" s="285">
        <v>119.17</v>
      </c>
      <c r="J83" s="285">
        <v>1507.1</v>
      </c>
      <c r="K83" s="285">
        <v>1446.93</v>
      </c>
      <c r="L83" s="285">
        <v>784.21</v>
      </c>
      <c r="M83" s="285">
        <v>281.63</v>
      </c>
      <c r="N83" s="285">
        <v>93.41</v>
      </c>
      <c r="O83" s="285">
        <v>9892.94</v>
      </c>
    </row>
    <row r="84" spans="1:15">
      <c r="B84" s="161" t="s">
        <v>607</v>
      </c>
      <c r="C84" s="285">
        <v>30.48</v>
      </c>
      <c r="D84" s="285">
        <v>0</v>
      </c>
      <c r="E84" s="285">
        <v>165.94</v>
      </c>
      <c r="F84" s="285">
        <v>291.18</v>
      </c>
      <c r="G84" s="285">
        <v>0</v>
      </c>
      <c r="H84" s="285">
        <v>0</v>
      </c>
      <c r="I84" s="285">
        <v>0</v>
      </c>
      <c r="J84" s="285">
        <v>5.34</v>
      </c>
      <c r="K84" s="285">
        <v>317.23</v>
      </c>
      <c r="L84" s="285">
        <v>0</v>
      </c>
      <c r="M84" s="285">
        <v>63.97</v>
      </c>
      <c r="N84" s="285">
        <v>0</v>
      </c>
      <c r="O84" s="285">
        <v>874.14</v>
      </c>
    </row>
    <row r="85" spans="1:15">
      <c r="B85" s="161" t="s">
        <v>2045</v>
      </c>
      <c r="C85" s="285">
        <v>0</v>
      </c>
      <c r="D85" s="285">
        <v>0</v>
      </c>
      <c r="E85" s="285">
        <v>0</v>
      </c>
      <c r="F85" s="285">
        <v>0</v>
      </c>
      <c r="G85" s="285">
        <v>0</v>
      </c>
      <c r="H85" s="285">
        <v>0</v>
      </c>
      <c r="I85" s="285">
        <v>0</v>
      </c>
      <c r="J85" s="285">
        <v>0</v>
      </c>
      <c r="K85" s="285">
        <v>86.92</v>
      </c>
      <c r="L85" s="285">
        <v>665.21</v>
      </c>
      <c r="M85" s="285">
        <v>570.4</v>
      </c>
      <c r="N85" s="285">
        <v>0</v>
      </c>
      <c r="O85" s="285">
        <v>1322.53</v>
      </c>
    </row>
    <row r="86" spans="1:15">
      <c r="B86" s="161" t="s">
        <v>608</v>
      </c>
      <c r="C86" s="285">
        <v>580.37</v>
      </c>
      <c r="D86" s="285">
        <v>580.37</v>
      </c>
      <c r="E86" s="285">
        <v>580.37</v>
      </c>
      <c r="F86" s="285">
        <v>580.37</v>
      </c>
      <c r="G86" s="285">
        <v>580.37</v>
      </c>
      <c r="H86" s="285">
        <v>580.37</v>
      </c>
      <c r="I86" s="285">
        <v>580.37</v>
      </c>
      <c r="J86" s="285">
        <v>580.37</v>
      </c>
      <c r="K86" s="285">
        <v>580.37</v>
      </c>
      <c r="L86" s="285">
        <v>580.37</v>
      </c>
      <c r="M86" s="285">
        <v>580.37</v>
      </c>
      <c r="N86" s="285">
        <v>580.37</v>
      </c>
      <c r="O86" s="285">
        <v>6964.44</v>
      </c>
    </row>
    <row r="87" spans="1:15">
      <c r="B87" s="161" t="s">
        <v>609</v>
      </c>
      <c r="C87" s="285">
        <v>605</v>
      </c>
      <c r="D87" s="285">
        <v>0</v>
      </c>
      <c r="E87" s="285">
        <v>0</v>
      </c>
      <c r="F87" s="285">
        <v>0</v>
      </c>
      <c r="G87" s="285">
        <v>0</v>
      </c>
      <c r="H87" s="285">
        <v>390</v>
      </c>
      <c r="I87" s="285">
        <v>0</v>
      </c>
      <c r="J87" s="285">
        <v>0</v>
      </c>
      <c r="K87" s="285">
        <v>0</v>
      </c>
      <c r="L87" s="285">
        <v>0</v>
      </c>
      <c r="M87" s="285">
        <v>0</v>
      </c>
      <c r="N87" s="285">
        <v>100</v>
      </c>
      <c r="O87" s="285">
        <v>1095</v>
      </c>
    </row>
    <row r="88" spans="1:15">
      <c r="B88" s="161" t="s">
        <v>610</v>
      </c>
      <c r="C88" s="285">
        <v>272.64</v>
      </c>
      <c r="D88" s="285">
        <v>529.97</v>
      </c>
      <c r="E88" s="285">
        <v>818.85</v>
      </c>
      <c r="F88" s="285">
        <v>390.42</v>
      </c>
      <c r="G88" s="285">
        <v>686.85</v>
      </c>
      <c r="H88" s="285">
        <v>207.22</v>
      </c>
      <c r="I88" s="285">
        <v>2211.83</v>
      </c>
      <c r="J88" s="285">
        <v>696.94</v>
      </c>
      <c r="K88" s="285">
        <v>672.5</v>
      </c>
      <c r="L88" s="285">
        <v>480.69</v>
      </c>
      <c r="M88" s="285">
        <v>402.55</v>
      </c>
      <c r="N88" s="285">
        <v>0</v>
      </c>
      <c r="O88" s="285">
        <v>7370.46</v>
      </c>
    </row>
    <row r="89" spans="1:15">
      <c r="B89" s="161" t="s">
        <v>611</v>
      </c>
      <c r="C89" s="285">
        <v>3065.6</v>
      </c>
      <c r="D89" s="285">
        <v>200</v>
      </c>
      <c r="E89" s="285">
        <v>978.22</v>
      </c>
      <c r="F89" s="285">
        <v>2130</v>
      </c>
      <c r="G89" s="285">
        <v>1820.44</v>
      </c>
      <c r="H89" s="285">
        <v>1385</v>
      </c>
      <c r="I89" s="285">
        <v>1225</v>
      </c>
      <c r="J89" s="285">
        <v>1050</v>
      </c>
      <c r="K89" s="285">
        <v>1980</v>
      </c>
      <c r="L89" s="285">
        <v>1220</v>
      </c>
      <c r="M89" s="285">
        <v>900</v>
      </c>
      <c r="N89" s="285">
        <v>75</v>
      </c>
      <c r="O89" s="285">
        <v>16029.26</v>
      </c>
    </row>
    <row r="90" spans="1:15">
      <c r="B90" s="161" t="s">
        <v>612</v>
      </c>
      <c r="C90" s="285">
        <v>4800.8999999999996</v>
      </c>
      <c r="D90" s="285">
        <v>2706.51</v>
      </c>
      <c r="E90" s="285">
        <v>4999.42</v>
      </c>
      <c r="F90" s="285">
        <v>5391.93</v>
      </c>
      <c r="G90" s="285">
        <v>4795.72</v>
      </c>
      <c r="H90" s="285">
        <v>3338.73</v>
      </c>
      <c r="I90" s="285">
        <v>4502.38</v>
      </c>
      <c r="J90" s="285">
        <v>3121.17</v>
      </c>
      <c r="K90" s="285">
        <v>3939.23</v>
      </c>
      <c r="L90" s="285">
        <v>1947.53</v>
      </c>
      <c r="M90" s="285">
        <v>4322.8100000000004</v>
      </c>
      <c r="N90" s="285">
        <v>2170</v>
      </c>
      <c r="O90" s="285">
        <v>46036.33</v>
      </c>
    </row>
    <row r="91" spans="1:15">
      <c r="B91" s="161" t="s">
        <v>613</v>
      </c>
      <c r="C91" s="285">
        <v>905.11</v>
      </c>
      <c r="D91" s="285">
        <v>78.78</v>
      </c>
      <c r="E91" s="285">
        <v>1047.1099999999999</v>
      </c>
      <c r="F91" s="285">
        <v>626.65</v>
      </c>
      <c r="G91" s="285">
        <v>427.44</v>
      </c>
      <c r="H91" s="285">
        <v>57.89</v>
      </c>
      <c r="I91" s="285">
        <v>528.41999999999996</v>
      </c>
      <c r="J91" s="285">
        <v>1080.56</v>
      </c>
      <c r="K91" s="285">
        <v>2031.87</v>
      </c>
      <c r="L91" s="285">
        <v>1087.07</v>
      </c>
      <c r="M91" s="285">
        <v>788.28</v>
      </c>
      <c r="N91" s="285">
        <v>832.73</v>
      </c>
      <c r="O91" s="285">
        <v>9491.91</v>
      </c>
    </row>
    <row r="92" spans="1:15">
      <c r="B92" s="161" t="s">
        <v>614</v>
      </c>
      <c r="C92" s="285">
        <v>1841.24</v>
      </c>
      <c r="D92" s="285">
        <v>1473.97</v>
      </c>
      <c r="E92" s="285">
        <v>1496.59</v>
      </c>
      <c r="F92" s="285">
        <v>747.68</v>
      </c>
      <c r="G92" s="285">
        <v>1586.67</v>
      </c>
      <c r="H92" s="285">
        <v>1990.13</v>
      </c>
      <c r="I92" s="285">
        <v>1442.89</v>
      </c>
      <c r="J92" s="285">
        <v>31.55</v>
      </c>
      <c r="K92" s="285">
        <v>1818.67</v>
      </c>
      <c r="L92" s="285">
        <v>623.14</v>
      </c>
      <c r="M92" s="285">
        <v>407.07</v>
      </c>
      <c r="N92" s="285">
        <v>302.32</v>
      </c>
      <c r="O92" s="285">
        <v>13761.92</v>
      </c>
    </row>
    <row r="93" spans="1:15">
      <c r="A93" s="405" t="s">
        <v>55</v>
      </c>
      <c r="B93" s="161" t="s">
        <v>615</v>
      </c>
      <c r="C93" s="286">
        <v>19607.38</v>
      </c>
      <c r="D93" s="286">
        <v>15501.75</v>
      </c>
      <c r="E93" s="286">
        <v>17349.02</v>
      </c>
      <c r="F93" s="286">
        <v>17276.189999999999</v>
      </c>
      <c r="G93" s="286">
        <v>17317.650000000001</v>
      </c>
      <c r="H93" s="286">
        <v>17346.22</v>
      </c>
      <c r="I93" s="286">
        <v>17307.240000000002</v>
      </c>
      <c r="J93" s="286">
        <v>14058.82</v>
      </c>
      <c r="K93" s="286">
        <v>19829.29</v>
      </c>
      <c r="L93" s="286">
        <v>18389.91</v>
      </c>
      <c r="M93" s="286">
        <v>19813.36</v>
      </c>
      <c r="N93" s="286">
        <v>13004.42</v>
      </c>
      <c r="O93" s="286">
        <v>206801.25</v>
      </c>
    </row>
    <row r="94" spans="1:15">
      <c r="B94" s="539" t="s">
        <v>105</v>
      </c>
      <c r="C94" s="539"/>
      <c r="D94" s="539"/>
      <c r="E94" s="539"/>
      <c r="F94" s="539"/>
      <c r="G94" s="539"/>
      <c r="H94" s="539"/>
      <c r="I94" s="539"/>
      <c r="J94" s="539"/>
      <c r="K94" s="539"/>
      <c r="L94" s="539"/>
      <c r="M94" s="539"/>
      <c r="N94" s="539"/>
      <c r="O94" s="539"/>
    </row>
    <row r="95" spans="1:15">
      <c r="B95" s="161" t="s">
        <v>616</v>
      </c>
      <c r="C95" s="161" t="s">
        <v>108</v>
      </c>
      <c r="D95" s="161" t="s">
        <v>108</v>
      </c>
      <c r="E95" s="161" t="s">
        <v>108</v>
      </c>
      <c r="F95" s="161" t="s">
        <v>108</v>
      </c>
      <c r="G95" s="161" t="s">
        <v>108</v>
      </c>
      <c r="H95" s="161" t="s">
        <v>108</v>
      </c>
      <c r="I95" s="161" t="s">
        <v>108</v>
      </c>
      <c r="J95" s="161" t="s">
        <v>108</v>
      </c>
      <c r="K95" s="161" t="s">
        <v>108</v>
      </c>
      <c r="L95" s="161" t="s">
        <v>108</v>
      </c>
      <c r="M95" s="161" t="s">
        <v>108</v>
      </c>
      <c r="N95" s="161" t="s">
        <v>108</v>
      </c>
      <c r="O95" s="161" t="s">
        <v>108</v>
      </c>
    </row>
    <row r="96" spans="1:15">
      <c r="B96" s="161" t="s">
        <v>617</v>
      </c>
      <c r="C96" s="285">
        <v>46462.6</v>
      </c>
      <c r="D96" s="285">
        <v>47993.69</v>
      </c>
      <c r="E96" s="285">
        <v>45268.93</v>
      </c>
      <c r="F96" s="285">
        <v>37058.730000000003</v>
      </c>
      <c r="G96" s="285">
        <v>46653.15</v>
      </c>
      <c r="H96" s="285">
        <v>49229.96</v>
      </c>
      <c r="I96" s="285">
        <v>43971.49</v>
      </c>
      <c r="J96" s="285">
        <v>45963.82</v>
      </c>
      <c r="K96" s="285">
        <v>56682.51</v>
      </c>
      <c r="L96" s="285">
        <v>50647.44</v>
      </c>
      <c r="M96" s="285">
        <v>44600.46</v>
      </c>
      <c r="N96" s="285">
        <v>47909.98</v>
      </c>
      <c r="O96" s="285">
        <v>562442.76</v>
      </c>
    </row>
    <row r="97" spans="1:15">
      <c r="B97" s="161" t="s">
        <v>618</v>
      </c>
      <c r="C97" s="285">
        <v>2493.09</v>
      </c>
      <c r="D97" s="285">
        <v>2313.8000000000002</v>
      </c>
      <c r="E97" s="285">
        <v>1500</v>
      </c>
      <c r="F97" s="285">
        <v>636.38</v>
      </c>
      <c r="G97" s="285">
        <v>645.08000000000004</v>
      </c>
      <c r="H97" s="285">
        <v>640.52</v>
      </c>
      <c r="I97" s="285">
        <v>640.52</v>
      </c>
      <c r="J97" s="285">
        <v>966.67</v>
      </c>
      <c r="K97" s="285">
        <v>1140.52</v>
      </c>
      <c r="L97" s="285">
        <v>1281.04</v>
      </c>
      <c r="M97" s="285">
        <v>1176.23</v>
      </c>
      <c r="N97" s="285">
        <v>2067.5500000000002</v>
      </c>
      <c r="O97" s="285">
        <v>15501.4</v>
      </c>
    </row>
    <row r="98" spans="1:15">
      <c r="B98" s="161" t="s">
        <v>619</v>
      </c>
      <c r="C98" s="285">
        <v>1395.88</v>
      </c>
      <c r="D98" s="285">
        <v>1395.88</v>
      </c>
      <c r="E98" s="285">
        <v>796.05</v>
      </c>
      <c r="F98" s="285">
        <v>124.09</v>
      </c>
      <c r="G98" s="285">
        <v>124.09</v>
      </c>
      <c r="H98" s="285">
        <v>124.09</v>
      </c>
      <c r="I98" s="285">
        <v>124.09</v>
      </c>
      <c r="J98" s="285">
        <v>124.09</v>
      </c>
      <c r="K98" s="285">
        <v>0</v>
      </c>
      <c r="L98" s="285">
        <v>864.3</v>
      </c>
      <c r="M98" s="285">
        <v>884.1</v>
      </c>
      <c r="N98" s="285">
        <v>885.83</v>
      </c>
      <c r="O98" s="285">
        <v>6842.49</v>
      </c>
    </row>
    <row r="99" spans="1:15">
      <c r="B99" s="161" t="s">
        <v>620</v>
      </c>
      <c r="C99" s="285">
        <v>426.29</v>
      </c>
      <c r="D99" s="285">
        <v>317.64</v>
      </c>
      <c r="E99" s="285">
        <v>256.54000000000002</v>
      </c>
      <c r="F99" s="285">
        <v>188.53</v>
      </c>
      <c r="G99" s="285">
        <v>257.58999999999997</v>
      </c>
      <c r="H99" s="285">
        <v>346.55</v>
      </c>
      <c r="I99" s="285">
        <v>221.69</v>
      </c>
      <c r="J99" s="285">
        <v>252.09</v>
      </c>
      <c r="K99" s="285">
        <v>313.92</v>
      </c>
      <c r="L99" s="285">
        <v>260.45</v>
      </c>
      <c r="M99" s="285">
        <v>257.2</v>
      </c>
      <c r="N99" s="285">
        <v>396.68</v>
      </c>
      <c r="O99" s="285">
        <v>3495.17</v>
      </c>
    </row>
    <row r="100" spans="1:15">
      <c r="B100" s="161" t="s">
        <v>621</v>
      </c>
      <c r="C100" s="285">
        <v>0</v>
      </c>
      <c r="D100" s="285">
        <v>109.02</v>
      </c>
      <c r="E100" s="285">
        <v>327.06</v>
      </c>
      <c r="F100" s="285">
        <v>436.08</v>
      </c>
      <c r="G100" s="285">
        <v>218.04</v>
      </c>
      <c r="H100" s="285">
        <v>0</v>
      </c>
      <c r="I100" s="285">
        <v>170.79</v>
      </c>
      <c r="J100" s="285">
        <v>218.04</v>
      </c>
      <c r="K100" s="285">
        <v>0</v>
      </c>
      <c r="L100" s="285">
        <v>0</v>
      </c>
      <c r="M100" s="285">
        <v>0</v>
      </c>
      <c r="N100" s="285">
        <v>118.83</v>
      </c>
      <c r="O100" s="285">
        <v>1597.86</v>
      </c>
    </row>
    <row r="101" spans="1:15">
      <c r="A101" s="405" t="s">
        <v>58</v>
      </c>
      <c r="B101" s="161" t="s">
        <v>622</v>
      </c>
      <c r="C101" s="286">
        <v>50777.86</v>
      </c>
      <c r="D101" s="286">
        <v>52130.03</v>
      </c>
      <c r="E101" s="286">
        <v>48148.58</v>
      </c>
      <c r="F101" s="286">
        <v>38443.81</v>
      </c>
      <c r="G101" s="286">
        <v>47897.95</v>
      </c>
      <c r="H101" s="286">
        <v>50341.120000000003</v>
      </c>
      <c r="I101" s="286">
        <v>45128.58</v>
      </c>
      <c r="J101" s="286">
        <v>47524.71</v>
      </c>
      <c r="K101" s="286">
        <v>58136.95</v>
      </c>
      <c r="L101" s="286">
        <v>53053.23</v>
      </c>
      <c r="M101" s="286">
        <v>46917.99</v>
      </c>
      <c r="N101" s="286">
        <v>51378.87</v>
      </c>
      <c r="O101" s="286">
        <v>589879.68000000005</v>
      </c>
    </row>
    <row r="102" spans="1:15">
      <c r="B102" s="539" t="s">
        <v>105</v>
      </c>
      <c r="C102" s="539"/>
      <c r="D102" s="539"/>
      <c r="E102" s="539"/>
      <c r="F102" s="539"/>
      <c r="G102" s="539"/>
      <c r="H102" s="539"/>
      <c r="I102" s="539"/>
      <c r="J102" s="539"/>
      <c r="K102" s="539"/>
      <c r="L102" s="539"/>
      <c r="M102" s="539"/>
      <c r="N102" s="539"/>
      <c r="O102" s="539"/>
    </row>
    <row r="103" spans="1:15">
      <c r="B103" s="161" t="s">
        <v>623</v>
      </c>
      <c r="C103" s="161" t="s">
        <v>108</v>
      </c>
      <c r="D103" s="161" t="s">
        <v>108</v>
      </c>
      <c r="E103" s="161" t="s">
        <v>108</v>
      </c>
      <c r="F103" s="161" t="s">
        <v>108</v>
      </c>
      <c r="G103" s="161" t="s">
        <v>108</v>
      </c>
      <c r="H103" s="161" t="s">
        <v>108</v>
      </c>
      <c r="I103" s="161" t="s">
        <v>108</v>
      </c>
      <c r="J103" s="161" t="s">
        <v>108</v>
      </c>
      <c r="K103" s="161" t="s">
        <v>108</v>
      </c>
      <c r="L103" s="161" t="s">
        <v>108</v>
      </c>
      <c r="M103" s="161" t="s">
        <v>108</v>
      </c>
      <c r="N103" s="161" t="s">
        <v>108</v>
      </c>
      <c r="O103" s="161" t="s">
        <v>108</v>
      </c>
    </row>
    <row r="104" spans="1:15">
      <c r="A104" s="405" t="s">
        <v>53</v>
      </c>
      <c r="B104" s="161" t="s">
        <v>624</v>
      </c>
      <c r="C104" s="285">
        <v>10949.78</v>
      </c>
      <c r="D104" s="285">
        <v>10949.78</v>
      </c>
      <c r="E104" s="285">
        <v>10949.78</v>
      </c>
      <c r="F104" s="285">
        <v>10905.92</v>
      </c>
      <c r="G104" s="285">
        <v>10905.48</v>
      </c>
      <c r="H104" s="285">
        <v>10905.48</v>
      </c>
      <c r="I104" s="285">
        <v>10905.48</v>
      </c>
      <c r="J104" s="285">
        <v>10905.48</v>
      </c>
      <c r="K104" s="285">
        <v>10905.48</v>
      </c>
      <c r="L104" s="285">
        <v>10905.48</v>
      </c>
      <c r="M104" s="285">
        <v>10905.48</v>
      </c>
      <c r="N104" s="285">
        <v>10905.48</v>
      </c>
      <c r="O104" s="285">
        <v>130999.1</v>
      </c>
    </row>
    <row r="105" spans="1:15">
      <c r="A105" s="405" t="s">
        <v>52</v>
      </c>
      <c r="B105" s="161" t="s">
        <v>625</v>
      </c>
      <c r="C105" s="285">
        <v>32298.61</v>
      </c>
      <c r="D105" s="285">
        <v>32298.61</v>
      </c>
      <c r="E105" s="285">
        <v>32298.61</v>
      </c>
      <c r="F105" s="285">
        <v>32298.61</v>
      </c>
      <c r="G105" s="285">
        <v>32298.61</v>
      </c>
      <c r="H105" s="285">
        <v>32298.61</v>
      </c>
      <c r="I105" s="285">
        <v>31173.439999999999</v>
      </c>
      <c r="J105" s="285">
        <v>31173.439999999999</v>
      </c>
      <c r="K105" s="285">
        <v>31173.439999999999</v>
      </c>
      <c r="L105" s="285">
        <v>33618.18</v>
      </c>
      <c r="M105" s="285">
        <v>33618.18</v>
      </c>
      <c r="N105" s="285">
        <v>33618.18</v>
      </c>
      <c r="O105" s="285">
        <v>388166.52</v>
      </c>
    </row>
    <row r="106" spans="1:15">
      <c r="A106" s="405" t="s">
        <v>52</v>
      </c>
      <c r="B106" s="161" t="s">
        <v>626</v>
      </c>
      <c r="C106" s="285">
        <v>0</v>
      </c>
      <c r="D106" s="285">
        <v>900</v>
      </c>
      <c r="E106" s="285">
        <v>0</v>
      </c>
      <c r="F106" s="285">
        <v>0</v>
      </c>
      <c r="G106" s="285">
        <v>0</v>
      </c>
      <c r="H106" s="285">
        <v>0</v>
      </c>
      <c r="I106" s="285">
        <v>0</v>
      </c>
      <c r="J106" s="285">
        <v>0</v>
      </c>
      <c r="K106" s="285">
        <v>0</v>
      </c>
      <c r="L106" s="285">
        <v>0</v>
      </c>
      <c r="M106" s="285">
        <v>0</v>
      </c>
      <c r="N106" s="285">
        <v>0</v>
      </c>
      <c r="O106" s="285">
        <v>900</v>
      </c>
    </row>
    <row r="107" spans="1:15">
      <c r="B107" s="161" t="s">
        <v>627</v>
      </c>
      <c r="C107" s="286">
        <v>43248.39</v>
      </c>
      <c r="D107" s="286">
        <v>44148.39</v>
      </c>
      <c r="E107" s="286">
        <v>43248.39</v>
      </c>
      <c r="F107" s="286">
        <v>43204.53</v>
      </c>
      <c r="G107" s="286">
        <v>43204.09</v>
      </c>
      <c r="H107" s="286">
        <v>43204.09</v>
      </c>
      <c r="I107" s="286">
        <v>42078.92</v>
      </c>
      <c r="J107" s="286">
        <v>42078.92</v>
      </c>
      <c r="K107" s="286">
        <v>42078.92</v>
      </c>
      <c r="L107" s="286">
        <v>44523.66</v>
      </c>
      <c r="M107" s="286">
        <v>44523.66</v>
      </c>
      <c r="N107" s="286">
        <v>44523.66</v>
      </c>
      <c r="O107" s="286">
        <v>520065.62</v>
      </c>
    </row>
    <row r="108" spans="1:15">
      <c r="B108" s="539" t="s">
        <v>105</v>
      </c>
      <c r="C108" s="539"/>
      <c r="D108" s="539"/>
      <c r="E108" s="539"/>
      <c r="F108" s="539"/>
      <c r="G108" s="539"/>
      <c r="H108" s="539"/>
      <c r="I108" s="539"/>
      <c r="J108" s="539"/>
      <c r="K108" s="539"/>
      <c r="L108" s="539"/>
      <c r="M108" s="539"/>
      <c r="N108" s="539"/>
      <c r="O108" s="539"/>
    </row>
    <row r="109" spans="1:15">
      <c r="B109" s="161" t="s">
        <v>628</v>
      </c>
      <c r="C109" s="161" t="s">
        <v>108</v>
      </c>
      <c r="D109" s="161" t="s">
        <v>108</v>
      </c>
      <c r="E109" s="161" t="s">
        <v>108</v>
      </c>
      <c r="F109" s="161" t="s">
        <v>108</v>
      </c>
      <c r="G109" s="161" t="s">
        <v>108</v>
      </c>
      <c r="H109" s="161" t="s">
        <v>108</v>
      </c>
      <c r="I109" s="161" t="s">
        <v>108</v>
      </c>
      <c r="J109" s="161" t="s">
        <v>108</v>
      </c>
      <c r="K109" s="161" t="s">
        <v>108</v>
      </c>
      <c r="L109" s="161" t="s">
        <v>108</v>
      </c>
      <c r="M109" s="161" t="s">
        <v>108</v>
      </c>
      <c r="N109" s="161" t="s">
        <v>108</v>
      </c>
      <c r="O109" s="161" t="s">
        <v>108</v>
      </c>
    </row>
    <row r="110" spans="1:15">
      <c r="A110" s="405" t="s">
        <v>57</v>
      </c>
      <c r="B110" s="161" t="s">
        <v>629</v>
      </c>
      <c r="C110" s="285">
        <v>18445.330000000002</v>
      </c>
      <c r="D110" s="285">
        <v>18027.39</v>
      </c>
      <c r="E110" s="285">
        <v>17761.28</v>
      </c>
      <c r="F110" s="285">
        <v>17828.400000000001</v>
      </c>
      <c r="G110" s="285">
        <v>17582.650000000001</v>
      </c>
      <c r="H110" s="285">
        <v>16544.73</v>
      </c>
      <c r="I110" s="285">
        <v>17698.29</v>
      </c>
      <c r="J110" s="285">
        <v>17469.59</v>
      </c>
      <c r="K110" s="285">
        <v>17468.09</v>
      </c>
      <c r="L110" s="285">
        <v>17158.330000000002</v>
      </c>
      <c r="M110" s="285">
        <v>17218.82</v>
      </c>
      <c r="N110" s="285">
        <v>17555.21</v>
      </c>
      <c r="O110" s="285">
        <v>210758.11</v>
      </c>
    </row>
    <row r="111" spans="1:15">
      <c r="B111" s="161" t="s">
        <v>630</v>
      </c>
      <c r="C111" s="286">
        <v>18445.330000000002</v>
      </c>
      <c r="D111" s="286">
        <v>18027.39</v>
      </c>
      <c r="E111" s="286">
        <v>17761.28</v>
      </c>
      <c r="F111" s="286">
        <v>17828.400000000001</v>
      </c>
      <c r="G111" s="286">
        <v>17582.650000000001</v>
      </c>
      <c r="H111" s="286">
        <v>16544.73</v>
      </c>
      <c r="I111" s="286">
        <v>17698.29</v>
      </c>
      <c r="J111" s="286">
        <v>17469.59</v>
      </c>
      <c r="K111" s="286">
        <v>17468.09</v>
      </c>
      <c r="L111" s="286">
        <v>17158.330000000002</v>
      </c>
      <c r="M111" s="286">
        <v>17218.82</v>
      </c>
      <c r="N111" s="286">
        <v>17555.21</v>
      </c>
      <c r="O111" s="286">
        <v>210758.11</v>
      </c>
    </row>
    <row r="112" spans="1:15">
      <c r="B112" s="539" t="s">
        <v>105</v>
      </c>
      <c r="C112" s="539"/>
      <c r="D112" s="539"/>
      <c r="E112" s="539"/>
      <c r="F112" s="539"/>
      <c r="G112" s="539"/>
      <c r="H112" s="539"/>
      <c r="I112" s="539"/>
      <c r="J112" s="539"/>
      <c r="K112" s="539"/>
      <c r="L112" s="539"/>
      <c r="M112" s="539"/>
      <c r="N112" s="539"/>
      <c r="O112" s="539"/>
    </row>
    <row r="113" spans="1:15">
      <c r="B113" s="161" t="s">
        <v>631</v>
      </c>
      <c r="C113" s="161" t="s">
        <v>108</v>
      </c>
      <c r="D113" s="161" t="s">
        <v>108</v>
      </c>
      <c r="E113" s="161" t="s">
        <v>108</v>
      </c>
      <c r="F113" s="161" t="s">
        <v>108</v>
      </c>
      <c r="G113" s="161" t="s">
        <v>108</v>
      </c>
      <c r="H113" s="161" t="s">
        <v>108</v>
      </c>
      <c r="I113" s="161" t="s">
        <v>108</v>
      </c>
      <c r="J113" s="161" t="s">
        <v>108</v>
      </c>
      <c r="K113" s="161" t="s">
        <v>108</v>
      </c>
      <c r="L113" s="161" t="s">
        <v>108</v>
      </c>
      <c r="M113" s="161" t="s">
        <v>108</v>
      </c>
      <c r="N113" s="161" t="s">
        <v>108</v>
      </c>
      <c r="O113" s="161" t="s">
        <v>108</v>
      </c>
    </row>
    <row r="114" spans="1:15">
      <c r="A114" s="405" t="s">
        <v>61</v>
      </c>
      <c r="B114" s="161" t="s">
        <v>632</v>
      </c>
      <c r="C114" s="285">
        <v>1473</v>
      </c>
      <c r="D114" s="285">
        <v>465</v>
      </c>
      <c r="E114" s="285">
        <v>277</v>
      </c>
      <c r="F114" s="285">
        <v>3789</v>
      </c>
      <c r="G114" s="285">
        <v>1509</v>
      </c>
      <c r="H114" s="285">
        <v>276</v>
      </c>
      <c r="I114" s="285">
        <v>2813</v>
      </c>
      <c r="J114" s="285">
        <v>515</v>
      </c>
      <c r="K114" s="285">
        <v>953</v>
      </c>
      <c r="L114" s="285">
        <v>4550</v>
      </c>
      <c r="M114" s="285">
        <v>2690</v>
      </c>
      <c r="N114" s="285">
        <v>2523.86</v>
      </c>
      <c r="O114" s="285">
        <v>21833.86</v>
      </c>
    </row>
    <row r="115" spans="1:15">
      <c r="A115" s="405" t="s">
        <v>61</v>
      </c>
      <c r="B115" s="161" t="s">
        <v>633</v>
      </c>
      <c r="C115" s="285">
        <v>1069.2</v>
      </c>
      <c r="D115" s="285">
        <v>1069.2</v>
      </c>
      <c r="E115" s="285">
        <v>1069.2</v>
      </c>
      <c r="F115" s="285">
        <v>1069.2</v>
      </c>
      <c r="G115" s="285">
        <v>1118.7</v>
      </c>
      <c r="H115" s="285">
        <v>1118.7</v>
      </c>
      <c r="I115" s="285">
        <v>1118.7</v>
      </c>
      <c r="J115" s="285">
        <v>1118.7</v>
      </c>
      <c r="K115" s="285">
        <v>1118.7</v>
      </c>
      <c r="L115" s="285">
        <v>1118.7</v>
      </c>
      <c r="M115" s="285">
        <v>1118.7</v>
      </c>
      <c r="N115" s="285">
        <v>1118.7</v>
      </c>
      <c r="O115" s="285">
        <v>13226.4</v>
      </c>
    </row>
    <row r="116" spans="1:15">
      <c r="A116" s="405" t="s">
        <v>61</v>
      </c>
      <c r="B116" s="161" t="s">
        <v>634</v>
      </c>
      <c r="C116" s="285">
        <v>6240</v>
      </c>
      <c r="D116" s="285">
        <v>6180</v>
      </c>
      <c r="E116" s="285">
        <v>6075</v>
      </c>
      <c r="F116" s="285">
        <v>6120</v>
      </c>
      <c r="G116" s="285">
        <v>6150</v>
      </c>
      <c r="H116" s="285">
        <v>6300</v>
      </c>
      <c r="I116" s="285">
        <v>6195</v>
      </c>
      <c r="J116" s="285">
        <v>6000</v>
      </c>
      <c r="K116" s="285">
        <v>5880</v>
      </c>
      <c r="L116" s="285">
        <v>6135</v>
      </c>
      <c r="M116" s="285">
        <v>6210</v>
      </c>
      <c r="N116" s="285">
        <v>6195</v>
      </c>
      <c r="O116" s="285">
        <v>73680</v>
      </c>
    </row>
    <row r="117" spans="1:15">
      <c r="A117" s="405" t="s">
        <v>61</v>
      </c>
      <c r="B117" s="161" t="s">
        <v>635</v>
      </c>
      <c r="C117" s="285">
        <v>796.95</v>
      </c>
      <c r="D117" s="285">
        <v>796.95</v>
      </c>
      <c r="E117" s="285">
        <v>796.95</v>
      </c>
      <c r="F117" s="285">
        <v>796.95</v>
      </c>
      <c r="G117" s="285">
        <v>836.55</v>
      </c>
      <c r="H117" s="285">
        <v>836.55</v>
      </c>
      <c r="I117" s="285">
        <v>836.55</v>
      </c>
      <c r="J117" s="285">
        <v>836.55</v>
      </c>
      <c r="K117" s="285">
        <v>836.55</v>
      </c>
      <c r="L117" s="285">
        <v>990</v>
      </c>
      <c r="M117" s="285">
        <v>992</v>
      </c>
      <c r="N117" s="285">
        <v>992</v>
      </c>
      <c r="O117" s="285">
        <v>10344.549999999999</v>
      </c>
    </row>
    <row r="118" spans="1:15">
      <c r="A118" s="405" t="s">
        <v>61</v>
      </c>
      <c r="B118" s="161" t="s">
        <v>636</v>
      </c>
      <c r="C118" s="285">
        <v>480</v>
      </c>
      <c r="D118" s="285">
        <v>0</v>
      </c>
      <c r="E118" s="285">
        <v>0</v>
      </c>
      <c r="F118" s="285">
        <v>0</v>
      </c>
      <c r="G118" s="285">
        <v>0</v>
      </c>
      <c r="H118" s="285">
        <v>0</v>
      </c>
      <c r="I118" s="285">
        <v>0</v>
      </c>
      <c r="J118" s="285">
        <v>60</v>
      </c>
      <c r="K118" s="285">
        <v>0</v>
      </c>
      <c r="L118" s="285">
        <v>1273.25</v>
      </c>
      <c r="M118" s="285">
        <v>0</v>
      </c>
      <c r="N118" s="285">
        <v>25</v>
      </c>
      <c r="O118" s="285">
        <v>1838.25</v>
      </c>
    </row>
    <row r="119" spans="1:15">
      <c r="A119" s="405" t="s">
        <v>61</v>
      </c>
      <c r="B119" s="161" t="s">
        <v>637</v>
      </c>
      <c r="C119" s="285">
        <v>532.76</v>
      </c>
      <c r="D119" s="285">
        <v>615.98</v>
      </c>
      <c r="E119" s="285">
        <v>469.64</v>
      </c>
      <c r="F119" s="285">
        <v>1189.6300000000001</v>
      </c>
      <c r="G119" s="285">
        <v>1258.5999999999999</v>
      </c>
      <c r="H119" s="285">
        <v>1225.07</v>
      </c>
      <c r="I119" s="285">
        <v>625</v>
      </c>
      <c r="J119" s="285">
        <v>1373.08</v>
      </c>
      <c r="K119" s="285">
        <v>1119.1400000000001</v>
      </c>
      <c r="L119" s="285">
        <v>1024.33</v>
      </c>
      <c r="M119" s="285">
        <v>921.12</v>
      </c>
      <c r="N119" s="285">
        <v>1007.29</v>
      </c>
      <c r="O119" s="285">
        <v>11361.64</v>
      </c>
    </row>
    <row r="120" spans="1:15">
      <c r="A120" s="405" t="s">
        <v>61</v>
      </c>
      <c r="B120" s="161" t="s">
        <v>638</v>
      </c>
      <c r="C120" s="285">
        <v>512.51</v>
      </c>
      <c r="D120" s="285">
        <v>91.18</v>
      </c>
      <c r="E120" s="285">
        <v>590.02</v>
      </c>
      <c r="F120" s="285">
        <v>551.85</v>
      </c>
      <c r="G120" s="285">
        <v>278.39999999999998</v>
      </c>
      <c r="H120" s="285">
        <v>629.41</v>
      </c>
      <c r="I120" s="285">
        <v>32.619999999999997</v>
      </c>
      <c r="J120" s="285">
        <v>100.99</v>
      </c>
      <c r="K120" s="285">
        <v>489.45</v>
      </c>
      <c r="L120" s="285">
        <v>275.56</v>
      </c>
      <c r="M120" s="285">
        <v>130.51</v>
      </c>
      <c r="N120" s="285">
        <v>0</v>
      </c>
      <c r="O120" s="285">
        <v>3682.5</v>
      </c>
    </row>
    <row r="121" spans="1:15">
      <c r="A121" s="405" t="s">
        <v>61</v>
      </c>
      <c r="B121" s="161" t="s">
        <v>639</v>
      </c>
      <c r="C121" s="285">
        <v>98.06</v>
      </c>
      <c r="D121" s="285">
        <v>98.06</v>
      </c>
      <c r="E121" s="285">
        <v>98.06</v>
      </c>
      <c r="F121" s="285">
        <v>98.06</v>
      </c>
      <c r="G121" s="285">
        <v>98.19</v>
      </c>
      <c r="H121" s="285">
        <v>98.19</v>
      </c>
      <c r="I121" s="285">
        <v>98.19</v>
      </c>
      <c r="J121" s="285">
        <v>96.2</v>
      </c>
      <c r="K121" s="285">
        <v>96.2</v>
      </c>
      <c r="L121" s="285">
        <v>96.2</v>
      </c>
      <c r="M121" s="285">
        <v>96.2</v>
      </c>
      <c r="N121" s="285">
        <v>96.2</v>
      </c>
      <c r="O121" s="285">
        <v>1167.81</v>
      </c>
    </row>
    <row r="122" spans="1:15">
      <c r="A122" s="405" t="s">
        <v>61</v>
      </c>
      <c r="B122" s="161" t="s">
        <v>640</v>
      </c>
      <c r="C122" s="285">
        <v>0</v>
      </c>
      <c r="D122" s="285">
        <v>455.73</v>
      </c>
      <c r="E122" s="285">
        <v>199.8</v>
      </c>
      <c r="F122" s="285">
        <v>206.07</v>
      </c>
      <c r="G122" s="285">
        <v>362.05</v>
      </c>
      <c r="H122" s="285">
        <v>207.45</v>
      </c>
      <c r="I122" s="285">
        <v>51.27</v>
      </c>
      <c r="J122" s="285">
        <v>526.66</v>
      </c>
      <c r="K122" s="285">
        <v>0</v>
      </c>
      <c r="L122" s="285">
        <v>0</v>
      </c>
      <c r="M122" s="285">
        <v>0</v>
      </c>
      <c r="N122" s="285">
        <v>71.53</v>
      </c>
      <c r="O122" s="285">
        <v>2080.56</v>
      </c>
    </row>
    <row r="123" spans="1:15">
      <c r="A123" s="405" t="s">
        <v>61</v>
      </c>
      <c r="B123" s="161" t="s">
        <v>641</v>
      </c>
      <c r="C123" s="285">
        <v>4026.28</v>
      </c>
      <c r="D123" s="285">
        <v>7078.52</v>
      </c>
      <c r="E123" s="285">
        <v>4164.37</v>
      </c>
      <c r="F123" s="285">
        <v>10002.08</v>
      </c>
      <c r="G123" s="285">
        <v>9823.9599999999991</v>
      </c>
      <c r="H123" s="285">
        <v>7382.25</v>
      </c>
      <c r="I123" s="285">
        <v>11134.18</v>
      </c>
      <c r="J123" s="285">
        <v>3787.89</v>
      </c>
      <c r="K123" s="285">
        <v>5022.88</v>
      </c>
      <c r="L123" s="285">
        <v>7255.15</v>
      </c>
      <c r="M123" s="285">
        <v>6264.28</v>
      </c>
      <c r="N123" s="285">
        <v>7406.43</v>
      </c>
      <c r="O123" s="285">
        <v>83348.27</v>
      </c>
    </row>
    <row r="124" spans="1:15">
      <c r="A124" s="405" t="s">
        <v>61</v>
      </c>
      <c r="B124" s="161" t="s">
        <v>642</v>
      </c>
      <c r="C124" s="285">
        <v>564.41999999999996</v>
      </c>
      <c r="D124" s="285">
        <v>564.41999999999996</v>
      </c>
      <c r="E124" s="285">
        <v>3362.32</v>
      </c>
      <c r="F124" s="285">
        <v>490.91</v>
      </c>
      <c r="G124" s="285">
        <v>490.91</v>
      </c>
      <c r="H124" s="285">
        <v>490.91</v>
      </c>
      <c r="I124" s="285">
        <v>490.91</v>
      </c>
      <c r="J124" s="285">
        <v>490.91</v>
      </c>
      <c r="K124" s="285">
        <v>490.91</v>
      </c>
      <c r="L124" s="285">
        <v>543.85</v>
      </c>
      <c r="M124" s="285">
        <v>543.85</v>
      </c>
      <c r="N124" s="285">
        <v>608.75</v>
      </c>
      <c r="O124" s="285">
        <v>9133.07</v>
      </c>
    </row>
    <row r="125" spans="1:15">
      <c r="A125" s="405" t="s">
        <v>61</v>
      </c>
      <c r="B125" s="161" t="s">
        <v>643</v>
      </c>
      <c r="C125" s="285">
        <v>0</v>
      </c>
      <c r="D125" s="285">
        <v>0</v>
      </c>
      <c r="E125" s="285">
        <v>0</v>
      </c>
      <c r="F125" s="285">
        <v>0</v>
      </c>
      <c r="G125" s="285">
        <v>38.83</v>
      </c>
      <c r="H125" s="285">
        <v>0</v>
      </c>
      <c r="I125" s="285">
        <v>0</v>
      </c>
      <c r="J125" s="285">
        <v>0</v>
      </c>
      <c r="K125" s="285">
        <v>0</v>
      </c>
      <c r="L125" s="285">
        <v>0</v>
      </c>
      <c r="M125" s="285">
        <v>17.309999999999999</v>
      </c>
      <c r="N125" s="285">
        <v>0</v>
      </c>
      <c r="O125" s="285">
        <v>56.14</v>
      </c>
    </row>
    <row r="126" spans="1:15">
      <c r="A126" s="405" t="s">
        <v>61</v>
      </c>
      <c r="B126" s="161" t="s">
        <v>644</v>
      </c>
      <c r="C126" s="285">
        <v>95.92</v>
      </c>
      <c r="D126" s="285">
        <v>95.92</v>
      </c>
      <c r="E126" s="285">
        <v>95.92</v>
      </c>
      <c r="F126" s="285">
        <v>95.92</v>
      </c>
      <c r="G126" s="285">
        <v>100.48</v>
      </c>
      <c r="H126" s="285">
        <v>157.35</v>
      </c>
      <c r="I126" s="285">
        <v>100.48</v>
      </c>
      <c r="J126" s="285">
        <v>100.48</v>
      </c>
      <c r="K126" s="285">
        <v>100.48</v>
      </c>
      <c r="L126" s="285">
        <v>100.48</v>
      </c>
      <c r="M126" s="285">
        <v>100.48</v>
      </c>
      <c r="N126" s="285">
        <v>100.48</v>
      </c>
      <c r="O126" s="285">
        <v>1244.3900000000001</v>
      </c>
    </row>
    <row r="127" spans="1:15">
      <c r="A127" s="405" t="s">
        <v>60</v>
      </c>
      <c r="B127" s="161" t="s">
        <v>645</v>
      </c>
      <c r="C127" s="285">
        <v>375</v>
      </c>
      <c r="D127" s="285">
        <v>162</v>
      </c>
      <c r="E127" s="285">
        <v>0</v>
      </c>
      <c r="F127" s="285">
        <v>0</v>
      </c>
      <c r="G127" s="285">
        <v>572</v>
      </c>
      <c r="H127" s="285">
        <v>29</v>
      </c>
      <c r="I127" s="285">
        <v>938</v>
      </c>
      <c r="J127" s="285">
        <v>598</v>
      </c>
      <c r="K127" s="285">
        <v>58</v>
      </c>
      <c r="L127" s="285">
        <v>0</v>
      </c>
      <c r="M127" s="285">
        <v>0</v>
      </c>
      <c r="N127" s="285">
        <v>0</v>
      </c>
      <c r="O127" s="285">
        <v>2732</v>
      </c>
    </row>
    <row r="128" spans="1:15">
      <c r="A128" s="405" t="s">
        <v>61</v>
      </c>
      <c r="B128" s="161" t="s">
        <v>646</v>
      </c>
      <c r="C128" s="285">
        <v>0</v>
      </c>
      <c r="D128" s="285">
        <v>0</v>
      </c>
      <c r="E128" s="285">
        <v>0</v>
      </c>
      <c r="F128" s="285">
        <v>0</v>
      </c>
      <c r="G128" s="285">
        <v>0</v>
      </c>
      <c r="H128" s="285">
        <v>2384.5500000000002</v>
      </c>
      <c r="I128" s="285">
        <v>0</v>
      </c>
      <c r="J128" s="285">
        <v>540</v>
      </c>
      <c r="K128" s="285">
        <v>0</v>
      </c>
      <c r="L128" s="285">
        <v>270</v>
      </c>
      <c r="M128" s="285">
        <v>0</v>
      </c>
      <c r="N128" s="285">
        <v>0</v>
      </c>
      <c r="O128" s="285">
        <v>3194.55</v>
      </c>
    </row>
    <row r="129" spans="1:17">
      <c r="A129" s="405" t="s">
        <v>61</v>
      </c>
      <c r="B129" s="161" t="s">
        <v>647</v>
      </c>
      <c r="C129" s="285">
        <v>0</v>
      </c>
      <c r="D129" s="285">
        <v>0</v>
      </c>
      <c r="E129" s="285">
        <v>33</v>
      </c>
      <c r="F129" s="285">
        <v>0</v>
      </c>
      <c r="G129" s="285">
        <v>379.35</v>
      </c>
      <c r="H129" s="285">
        <v>489.9</v>
      </c>
      <c r="I129" s="285">
        <v>0</v>
      </c>
      <c r="J129" s="285">
        <v>168.34</v>
      </c>
      <c r="K129" s="285">
        <v>0</v>
      </c>
      <c r="L129" s="285">
        <v>96.78</v>
      </c>
      <c r="M129" s="285">
        <v>0</v>
      </c>
      <c r="N129" s="285">
        <v>677.04</v>
      </c>
      <c r="O129" s="285">
        <v>1844.41</v>
      </c>
    </row>
    <row r="130" spans="1:17">
      <c r="B130" s="161" t="s">
        <v>648</v>
      </c>
      <c r="C130" s="286">
        <v>16264.1</v>
      </c>
      <c r="D130" s="286">
        <v>17672.96</v>
      </c>
      <c r="E130" s="286">
        <v>17231.28</v>
      </c>
      <c r="F130" s="286">
        <v>24409.67</v>
      </c>
      <c r="G130" s="286">
        <v>23017.02</v>
      </c>
      <c r="H130" s="286">
        <v>21625.33</v>
      </c>
      <c r="I130" s="286">
        <v>24433.9</v>
      </c>
      <c r="J130" s="286">
        <v>16312.8</v>
      </c>
      <c r="K130" s="286">
        <v>16165.31</v>
      </c>
      <c r="L130" s="286">
        <v>23729.3</v>
      </c>
      <c r="M130" s="286">
        <v>19084.45</v>
      </c>
      <c r="N130" s="286">
        <v>20822.28</v>
      </c>
      <c r="O130" s="286">
        <v>240768.4</v>
      </c>
    </row>
    <row r="131" spans="1:17">
      <c r="B131" s="539" t="s">
        <v>105</v>
      </c>
      <c r="C131" s="539"/>
      <c r="D131" s="539"/>
      <c r="E131" s="539"/>
      <c r="F131" s="539"/>
      <c r="G131" s="539"/>
      <c r="H131" s="539"/>
      <c r="I131" s="539"/>
      <c r="J131" s="539"/>
      <c r="K131" s="539"/>
      <c r="L131" s="539"/>
      <c r="M131" s="539"/>
      <c r="N131" s="539"/>
      <c r="O131" s="539"/>
    </row>
    <row r="132" spans="1:17">
      <c r="B132" s="161" t="s">
        <v>649</v>
      </c>
      <c r="C132" s="161" t="s">
        <v>108</v>
      </c>
      <c r="D132" s="161" t="s">
        <v>108</v>
      </c>
      <c r="E132" s="161" t="s">
        <v>108</v>
      </c>
      <c r="F132" s="161" t="s">
        <v>108</v>
      </c>
      <c r="G132" s="161" t="s">
        <v>108</v>
      </c>
      <c r="H132" s="161" t="s">
        <v>108</v>
      </c>
      <c r="I132" s="161" t="s">
        <v>108</v>
      </c>
      <c r="J132" s="161" t="s">
        <v>108</v>
      </c>
      <c r="K132" s="161" t="s">
        <v>108</v>
      </c>
      <c r="L132" s="161" t="s">
        <v>108</v>
      </c>
      <c r="M132" s="161" t="s">
        <v>108</v>
      </c>
      <c r="N132" s="161" t="s">
        <v>108</v>
      </c>
      <c r="O132" s="161" t="s">
        <v>108</v>
      </c>
    </row>
    <row r="133" spans="1:17">
      <c r="B133" s="161" t="s">
        <v>650</v>
      </c>
      <c r="C133" s="285">
        <v>1668.33</v>
      </c>
      <c r="D133" s="285">
        <v>1498.66</v>
      </c>
      <c r="E133" s="285">
        <v>1791.58</v>
      </c>
      <c r="F133" s="285">
        <v>1594.22</v>
      </c>
      <c r="G133" s="285">
        <v>1591.79</v>
      </c>
      <c r="H133" s="285">
        <v>1591.79</v>
      </c>
      <c r="I133" s="285">
        <v>1593.04</v>
      </c>
      <c r="J133" s="285">
        <v>1564.76</v>
      </c>
      <c r="K133" s="285">
        <v>1664.77</v>
      </c>
      <c r="L133" s="285">
        <v>1803.69</v>
      </c>
      <c r="M133" s="285">
        <v>1765.22</v>
      </c>
      <c r="N133" s="285">
        <v>2637.86</v>
      </c>
      <c r="O133" s="285">
        <v>20765.71</v>
      </c>
    </row>
    <row r="134" spans="1:17">
      <c r="B134" s="161" t="s">
        <v>651</v>
      </c>
      <c r="C134" s="285">
        <v>0</v>
      </c>
      <c r="D134" s="285">
        <v>407.77</v>
      </c>
      <c r="E134" s="285">
        <v>0</v>
      </c>
      <c r="F134" s="285">
        <v>0</v>
      </c>
      <c r="G134" s="285">
        <v>0</v>
      </c>
      <c r="H134" s="285">
        <v>0</v>
      </c>
      <c r="I134" s="285">
        <v>0</v>
      </c>
      <c r="J134" s="285">
        <v>0</v>
      </c>
      <c r="K134" s="285">
        <v>0</v>
      </c>
      <c r="L134" s="285">
        <v>0</v>
      </c>
      <c r="M134" s="285">
        <v>0</v>
      </c>
      <c r="N134" s="285">
        <v>0</v>
      </c>
      <c r="O134" s="285">
        <v>407.77</v>
      </c>
      <c r="Q134" s="271"/>
    </row>
    <row r="135" spans="1:17">
      <c r="B135" s="161" t="s">
        <v>652</v>
      </c>
      <c r="C135" s="285">
        <v>4433.68</v>
      </c>
      <c r="D135" s="285">
        <v>6229.75</v>
      </c>
      <c r="E135" s="285">
        <v>6229.75</v>
      </c>
      <c r="F135" s="285">
        <v>5810.75</v>
      </c>
      <c r="G135" s="285">
        <v>6660.75</v>
      </c>
      <c r="H135" s="285">
        <v>9007.75</v>
      </c>
      <c r="I135" s="285">
        <v>7598.75</v>
      </c>
      <c r="J135" s="285">
        <v>3660.75</v>
      </c>
      <c r="K135" s="285">
        <v>12629.75</v>
      </c>
      <c r="L135" s="285">
        <v>7028.59</v>
      </c>
      <c r="M135" s="285">
        <v>9684.75</v>
      </c>
      <c r="N135" s="285">
        <v>7559.93</v>
      </c>
      <c r="O135" s="285">
        <v>86534.95</v>
      </c>
    </row>
    <row r="136" spans="1:17">
      <c r="A136" s="405" t="s">
        <v>59</v>
      </c>
      <c r="B136" s="161" t="s">
        <v>653</v>
      </c>
      <c r="C136" s="286">
        <v>6102.01</v>
      </c>
      <c r="D136" s="286">
        <v>8136.18</v>
      </c>
      <c r="E136" s="286">
        <v>8021.33</v>
      </c>
      <c r="F136" s="286">
        <v>7404.97</v>
      </c>
      <c r="G136" s="286">
        <v>8252.5400000000009</v>
      </c>
      <c r="H136" s="286">
        <v>10599.54</v>
      </c>
      <c r="I136" s="286">
        <v>9191.7900000000009</v>
      </c>
      <c r="J136" s="286">
        <v>5225.51</v>
      </c>
      <c r="K136" s="286">
        <v>14294.52</v>
      </c>
      <c r="L136" s="286">
        <v>8832.2800000000007</v>
      </c>
      <c r="M136" s="286">
        <v>11449.97</v>
      </c>
      <c r="N136" s="286">
        <v>10197.790000000001</v>
      </c>
      <c r="O136" s="286">
        <v>107708.43</v>
      </c>
    </row>
    <row r="137" spans="1:17">
      <c r="B137" s="539" t="s">
        <v>105</v>
      </c>
      <c r="C137" s="539"/>
      <c r="D137" s="539"/>
      <c r="E137" s="539"/>
      <c r="F137" s="539"/>
      <c r="G137" s="539"/>
      <c r="H137" s="539"/>
      <c r="I137" s="539"/>
      <c r="J137" s="539"/>
      <c r="K137" s="539"/>
      <c r="L137" s="539"/>
      <c r="M137" s="539"/>
      <c r="N137" s="539"/>
      <c r="O137" s="539"/>
    </row>
    <row r="138" spans="1:17">
      <c r="B138" s="161" t="s">
        <v>654</v>
      </c>
      <c r="C138" s="286">
        <v>187976.9</v>
      </c>
      <c r="D138" s="286">
        <v>201385.92</v>
      </c>
      <c r="E138" s="286">
        <v>195453.65</v>
      </c>
      <c r="F138" s="286">
        <v>194949.15</v>
      </c>
      <c r="G138" s="286">
        <v>216981.59</v>
      </c>
      <c r="H138" s="286">
        <v>217676.66</v>
      </c>
      <c r="I138" s="286">
        <v>207118.43</v>
      </c>
      <c r="J138" s="286">
        <v>170756.6</v>
      </c>
      <c r="K138" s="286">
        <v>213352.71</v>
      </c>
      <c r="L138" s="286">
        <v>214202.44</v>
      </c>
      <c r="M138" s="286">
        <v>220889.05</v>
      </c>
      <c r="N138" s="286">
        <v>193812.45</v>
      </c>
      <c r="O138" s="286">
        <v>2434555.5499999998</v>
      </c>
    </row>
    <row r="139" spans="1:17">
      <c r="B139" s="539" t="s">
        <v>105</v>
      </c>
      <c r="C139" s="539"/>
      <c r="D139" s="539"/>
      <c r="E139" s="539"/>
      <c r="F139" s="539"/>
      <c r="G139" s="539"/>
      <c r="H139" s="539"/>
      <c r="I139" s="539"/>
      <c r="J139" s="539"/>
      <c r="K139" s="539"/>
      <c r="L139" s="539"/>
      <c r="M139" s="539"/>
      <c r="N139" s="539"/>
      <c r="O139" s="539"/>
    </row>
    <row r="140" spans="1:17">
      <c r="B140" s="161" t="s">
        <v>109</v>
      </c>
      <c r="C140" s="286">
        <v>539637.81999999995</v>
      </c>
      <c r="D140" s="286">
        <v>538362.78</v>
      </c>
      <c r="E140" s="286">
        <v>505478.37</v>
      </c>
      <c r="F140" s="286">
        <v>526103.30000000005</v>
      </c>
      <c r="G140" s="286">
        <v>486934.27</v>
      </c>
      <c r="H140" s="286">
        <v>461989.45</v>
      </c>
      <c r="I140" s="286">
        <v>486105.47</v>
      </c>
      <c r="J140" s="286">
        <v>532577.23</v>
      </c>
      <c r="K140" s="286">
        <v>500939.96</v>
      </c>
      <c r="L140" s="286">
        <v>460466.43</v>
      </c>
      <c r="M140" s="286">
        <v>476008.28</v>
      </c>
      <c r="N140" s="286">
        <v>497561.86</v>
      </c>
      <c r="O140" s="286">
        <v>6012165.2199999997</v>
      </c>
    </row>
    <row r="141" spans="1:17">
      <c r="B141" s="539" t="s">
        <v>105</v>
      </c>
      <c r="C141" s="539"/>
      <c r="D141" s="539"/>
      <c r="E141" s="539"/>
      <c r="F141" s="539"/>
      <c r="G141" s="539"/>
      <c r="H141" s="539"/>
      <c r="I141" s="539"/>
      <c r="J141" s="539"/>
      <c r="K141" s="539"/>
      <c r="L141" s="539"/>
      <c r="M141" s="539"/>
      <c r="N141" s="539"/>
      <c r="O141" s="539"/>
    </row>
  </sheetData>
  <mergeCells count="22">
    <mergeCell ref="B137:O137"/>
    <mergeCell ref="B139:O139"/>
    <mergeCell ref="B141:O141"/>
    <mergeCell ref="B50:O50"/>
    <mergeCell ref="B51:O51"/>
    <mergeCell ref="B53:O53"/>
    <mergeCell ref="B64:O64"/>
    <mergeCell ref="B74:O74"/>
    <mergeCell ref="B6:O6"/>
    <mergeCell ref="B7:O7"/>
    <mergeCell ref="C8:O8"/>
    <mergeCell ref="C9:O9"/>
    <mergeCell ref="B15:O15"/>
    <mergeCell ref="B25:O25"/>
    <mergeCell ref="AD7:AD8"/>
    <mergeCell ref="B10:O10"/>
    <mergeCell ref="B45:O45"/>
    <mergeCell ref="B131:O131"/>
    <mergeCell ref="B94:O94"/>
    <mergeCell ref="B102:O102"/>
    <mergeCell ref="B108:O108"/>
    <mergeCell ref="B112:O112"/>
  </mergeCells>
  <dataValidations count="1">
    <dataValidation type="list" allowBlank="1" showInputMessage="1" showErrorMessage="1" sqref="A1:A1048576" xr:uid="{BAAACC92-05C4-4012-862E-C287081043A4}">
      <formula1>$V$17:$V$63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F1E17-48B2-4E75-A776-06695687993B}">
  <dimension ref="A1:BF1000"/>
  <sheetViews>
    <sheetView showGridLines="0" zoomScale="85" zoomScaleNormal="85" workbookViewId="0">
      <pane xSplit="1" ySplit="6" topLeftCell="B498" activePane="bottomRight" state="frozen"/>
      <selection pane="topRight" activeCell="B1" sqref="B1"/>
      <selection pane="bottomLeft" activeCell="A7" sqref="A7"/>
      <selection pane="bottomRight" activeCell="F535" sqref="F535"/>
    </sheetView>
  </sheetViews>
  <sheetFormatPr defaultRowHeight="12.75"/>
  <cols>
    <col min="1" max="1" width="42.5703125" style="162" customWidth="1"/>
    <col min="2" max="3" width="10.28515625" style="162" customWidth="1"/>
    <col min="4" max="5" width="13.7109375" style="162" customWidth="1"/>
    <col min="6" max="6" width="27.42578125" style="162" customWidth="1"/>
    <col min="7" max="7" width="12" style="162" customWidth="1"/>
    <col min="8" max="8" width="18.85546875" style="162" customWidth="1"/>
    <col min="9" max="9" width="24.140625" style="162" customWidth="1"/>
    <col min="10" max="10" width="20.5703125" style="162" customWidth="1"/>
    <col min="11" max="11" width="34.28515625" style="162" customWidth="1"/>
    <col min="12" max="33" width="13.7109375" style="162" customWidth="1"/>
    <col min="34" max="35" width="9.140625" style="162"/>
    <col min="36" max="36" width="21.140625" style="162" bestFit="1" customWidth="1"/>
    <col min="37" max="37" width="13" style="162" bestFit="1" customWidth="1"/>
    <col min="38" max="38" width="12.28515625" style="162" bestFit="1" customWidth="1"/>
    <col min="39" max="39" width="10.85546875" style="162" customWidth="1"/>
    <col min="40" max="40" width="9.85546875" style="162" bestFit="1" customWidth="1"/>
    <col min="41" max="41" width="33" style="162" customWidth="1"/>
    <col min="42" max="52" width="13" style="162" customWidth="1"/>
    <col min="53" max="54" width="9.85546875" style="162" bestFit="1" customWidth="1"/>
    <col min="55" max="57" width="11" style="162" bestFit="1" customWidth="1"/>
    <col min="58" max="58" width="9.85546875" style="162" bestFit="1" customWidth="1"/>
    <col min="59" max="244" width="9.140625" style="162"/>
    <col min="245" max="245" width="13.7109375" style="162" customWidth="1"/>
    <col min="246" max="246" width="10.28515625" style="162" customWidth="1"/>
    <col min="247" max="247" width="13.7109375" style="162" customWidth="1"/>
    <col min="248" max="249" width="20.5703125" style="162" customWidth="1"/>
    <col min="250" max="250" width="13.7109375" style="162" customWidth="1"/>
    <col min="251" max="251" width="24" style="162" customWidth="1"/>
    <col min="252" max="252" width="34.28515625" style="162" customWidth="1"/>
    <col min="253" max="274" width="20.5703125" style="162" customWidth="1"/>
    <col min="275" max="500" width="9.140625" style="162"/>
    <col min="501" max="501" width="13.7109375" style="162" customWidth="1"/>
    <col min="502" max="502" width="10.28515625" style="162" customWidth="1"/>
    <col min="503" max="503" width="13.7109375" style="162" customWidth="1"/>
    <col min="504" max="505" width="20.5703125" style="162" customWidth="1"/>
    <col min="506" max="506" width="13.7109375" style="162" customWidth="1"/>
    <col min="507" max="507" width="24" style="162" customWidth="1"/>
    <col min="508" max="508" width="34.28515625" style="162" customWidth="1"/>
    <col min="509" max="530" width="20.5703125" style="162" customWidth="1"/>
    <col min="531" max="756" width="9.140625" style="162"/>
    <col min="757" max="757" width="13.7109375" style="162" customWidth="1"/>
    <col min="758" max="758" width="10.28515625" style="162" customWidth="1"/>
    <col min="759" max="759" width="13.7109375" style="162" customWidth="1"/>
    <col min="760" max="761" width="20.5703125" style="162" customWidth="1"/>
    <col min="762" max="762" width="13.7109375" style="162" customWidth="1"/>
    <col min="763" max="763" width="24" style="162" customWidth="1"/>
    <col min="764" max="764" width="34.28515625" style="162" customWidth="1"/>
    <col min="765" max="786" width="20.5703125" style="162" customWidth="1"/>
    <col min="787" max="1012" width="9.140625" style="162"/>
    <col min="1013" max="1013" width="13.7109375" style="162" customWidth="1"/>
    <col min="1014" max="1014" width="10.28515625" style="162" customWidth="1"/>
    <col min="1015" max="1015" width="13.7109375" style="162" customWidth="1"/>
    <col min="1016" max="1017" width="20.5703125" style="162" customWidth="1"/>
    <col min="1018" max="1018" width="13.7109375" style="162" customWidth="1"/>
    <col min="1019" max="1019" width="24" style="162" customWidth="1"/>
    <col min="1020" max="1020" width="34.28515625" style="162" customWidth="1"/>
    <col min="1021" max="1042" width="20.5703125" style="162" customWidth="1"/>
    <col min="1043" max="1268" width="9.140625" style="162"/>
    <col min="1269" max="1269" width="13.7109375" style="162" customWidth="1"/>
    <col min="1270" max="1270" width="10.28515625" style="162" customWidth="1"/>
    <col min="1271" max="1271" width="13.7109375" style="162" customWidth="1"/>
    <col min="1272" max="1273" width="20.5703125" style="162" customWidth="1"/>
    <col min="1274" max="1274" width="13.7109375" style="162" customWidth="1"/>
    <col min="1275" max="1275" width="24" style="162" customWidth="1"/>
    <col min="1276" max="1276" width="34.28515625" style="162" customWidth="1"/>
    <col min="1277" max="1298" width="20.5703125" style="162" customWidth="1"/>
    <col min="1299" max="1524" width="9.140625" style="162"/>
    <col min="1525" max="1525" width="13.7109375" style="162" customWidth="1"/>
    <col min="1526" max="1526" width="10.28515625" style="162" customWidth="1"/>
    <col min="1527" max="1527" width="13.7109375" style="162" customWidth="1"/>
    <col min="1528" max="1529" width="20.5703125" style="162" customWidth="1"/>
    <col min="1530" max="1530" width="13.7109375" style="162" customWidth="1"/>
    <col min="1531" max="1531" width="24" style="162" customWidth="1"/>
    <col min="1532" max="1532" width="34.28515625" style="162" customWidth="1"/>
    <col min="1533" max="1554" width="20.5703125" style="162" customWidth="1"/>
    <col min="1555" max="1780" width="9.140625" style="162"/>
    <col min="1781" max="1781" width="13.7109375" style="162" customWidth="1"/>
    <col min="1782" max="1782" width="10.28515625" style="162" customWidth="1"/>
    <col min="1783" max="1783" width="13.7109375" style="162" customWidth="1"/>
    <col min="1784" max="1785" width="20.5703125" style="162" customWidth="1"/>
    <col min="1786" max="1786" width="13.7109375" style="162" customWidth="1"/>
    <col min="1787" max="1787" width="24" style="162" customWidth="1"/>
    <col min="1788" max="1788" width="34.28515625" style="162" customWidth="1"/>
    <col min="1789" max="1810" width="20.5703125" style="162" customWidth="1"/>
    <col min="1811" max="2036" width="9.140625" style="162"/>
    <col min="2037" max="2037" width="13.7109375" style="162" customWidth="1"/>
    <col min="2038" max="2038" width="10.28515625" style="162" customWidth="1"/>
    <col min="2039" max="2039" width="13.7109375" style="162" customWidth="1"/>
    <col min="2040" max="2041" width="20.5703125" style="162" customWidth="1"/>
    <col min="2042" max="2042" width="13.7109375" style="162" customWidth="1"/>
    <col min="2043" max="2043" width="24" style="162" customWidth="1"/>
    <col min="2044" max="2044" width="34.28515625" style="162" customWidth="1"/>
    <col min="2045" max="2066" width="20.5703125" style="162" customWidth="1"/>
    <col min="2067" max="2292" width="9.140625" style="162"/>
    <col min="2293" max="2293" width="13.7109375" style="162" customWidth="1"/>
    <col min="2294" max="2294" width="10.28515625" style="162" customWidth="1"/>
    <col min="2295" max="2295" width="13.7109375" style="162" customWidth="1"/>
    <col min="2296" max="2297" width="20.5703125" style="162" customWidth="1"/>
    <col min="2298" max="2298" width="13.7109375" style="162" customWidth="1"/>
    <col min="2299" max="2299" width="24" style="162" customWidth="1"/>
    <col min="2300" max="2300" width="34.28515625" style="162" customWidth="1"/>
    <col min="2301" max="2322" width="20.5703125" style="162" customWidth="1"/>
    <col min="2323" max="2548" width="9.140625" style="162"/>
    <col min="2549" max="2549" width="13.7109375" style="162" customWidth="1"/>
    <col min="2550" max="2550" width="10.28515625" style="162" customWidth="1"/>
    <col min="2551" max="2551" width="13.7109375" style="162" customWidth="1"/>
    <col min="2552" max="2553" width="20.5703125" style="162" customWidth="1"/>
    <col min="2554" max="2554" width="13.7109375" style="162" customWidth="1"/>
    <col min="2555" max="2555" width="24" style="162" customWidth="1"/>
    <col min="2556" max="2556" width="34.28515625" style="162" customWidth="1"/>
    <col min="2557" max="2578" width="20.5703125" style="162" customWidth="1"/>
    <col min="2579" max="2804" width="9.140625" style="162"/>
    <col min="2805" max="2805" width="13.7109375" style="162" customWidth="1"/>
    <col min="2806" max="2806" width="10.28515625" style="162" customWidth="1"/>
    <col min="2807" max="2807" width="13.7109375" style="162" customWidth="1"/>
    <col min="2808" max="2809" width="20.5703125" style="162" customWidth="1"/>
    <col min="2810" max="2810" width="13.7109375" style="162" customWidth="1"/>
    <col min="2811" max="2811" width="24" style="162" customWidth="1"/>
    <col min="2812" max="2812" width="34.28515625" style="162" customWidth="1"/>
    <col min="2813" max="2834" width="20.5703125" style="162" customWidth="1"/>
    <col min="2835" max="3060" width="9.140625" style="162"/>
    <col min="3061" max="3061" width="13.7109375" style="162" customWidth="1"/>
    <col min="3062" max="3062" width="10.28515625" style="162" customWidth="1"/>
    <col min="3063" max="3063" width="13.7109375" style="162" customWidth="1"/>
    <col min="3064" max="3065" width="20.5703125" style="162" customWidth="1"/>
    <col min="3066" max="3066" width="13.7109375" style="162" customWidth="1"/>
    <col min="3067" max="3067" width="24" style="162" customWidth="1"/>
    <col min="3068" max="3068" width="34.28515625" style="162" customWidth="1"/>
    <col min="3069" max="3090" width="20.5703125" style="162" customWidth="1"/>
    <col min="3091" max="3316" width="9.140625" style="162"/>
    <col min="3317" max="3317" width="13.7109375" style="162" customWidth="1"/>
    <col min="3318" max="3318" width="10.28515625" style="162" customWidth="1"/>
    <col min="3319" max="3319" width="13.7109375" style="162" customWidth="1"/>
    <col min="3320" max="3321" width="20.5703125" style="162" customWidth="1"/>
    <col min="3322" max="3322" width="13.7109375" style="162" customWidth="1"/>
    <col min="3323" max="3323" width="24" style="162" customWidth="1"/>
    <col min="3324" max="3324" width="34.28515625" style="162" customWidth="1"/>
    <col min="3325" max="3346" width="20.5703125" style="162" customWidth="1"/>
    <col min="3347" max="3572" width="9.140625" style="162"/>
    <col min="3573" max="3573" width="13.7109375" style="162" customWidth="1"/>
    <col min="3574" max="3574" width="10.28515625" style="162" customWidth="1"/>
    <col min="3575" max="3575" width="13.7109375" style="162" customWidth="1"/>
    <col min="3576" max="3577" width="20.5703125" style="162" customWidth="1"/>
    <col min="3578" max="3578" width="13.7109375" style="162" customWidth="1"/>
    <col min="3579" max="3579" width="24" style="162" customWidth="1"/>
    <col min="3580" max="3580" width="34.28515625" style="162" customWidth="1"/>
    <col min="3581" max="3602" width="20.5703125" style="162" customWidth="1"/>
    <col min="3603" max="3828" width="9.140625" style="162"/>
    <col min="3829" max="3829" width="13.7109375" style="162" customWidth="1"/>
    <col min="3830" max="3830" width="10.28515625" style="162" customWidth="1"/>
    <col min="3831" max="3831" width="13.7109375" style="162" customWidth="1"/>
    <col min="3832" max="3833" width="20.5703125" style="162" customWidth="1"/>
    <col min="3834" max="3834" width="13.7109375" style="162" customWidth="1"/>
    <col min="3835" max="3835" width="24" style="162" customWidth="1"/>
    <col min="3836" max="3836" width="34.28515625" style="162" customWidth="1"/>
    <col min="3837" max="3858" width="20.5703125" style="162" customWidth="1"/>
    <col min="3859" max="4084" width="9.140625" style="162"/>
    <col min="4085" max="4085" width="13.7109375" style="162" customWidth="1"/>
    <col min="4086" max="4086" width="10.28515625" style="162" customWidth="1"/>
    <col min="4087" max="4087" width="13.7109375" style="162" customWidth="1"/>
    <col min="4088" max="4089" width="20.5703125" style="162" customWidth="1"/>
    <col min="4090" max="4090" width="13.7109375" style="162" customWidth="1"/>
    <col min="4091" max="4091" width="24" style="162" customWidth="1"/>
    <col min="4092" max="4092" width="34.28515625" style="162" customWidth="1"/>
    <col min="4093" max="4114" width="20.5703125" style="162" customWidth="1"/>
    <col min="4115" max="4340" width="9.140625" style="162"/>
    <col min="4341" max="4341" width="13.7109375" style="162" customWidth="1"/>
    <col min="4342" max="4342" width="10.28515625" style="162" customWidth="1"/>
    <col min="4343" max="4343" width="13.7109375" style="162" customWidth="1"/>
    <col min="4344" max="4345" width="20.5703125" style="162" customWidth="1"/>
    <col min="4346" max="4346" width="13.7109375" style="162" customWidth="1"/>
    <col min="4347" max="4347" width="24" style="162" customWidth="1"/>
    <col min="4348" max="4348" width="34.28515625" style="162" customWidth="1"/>
    <col min="4349" max="4370" width="20.5703125" style="162" customWidth="1"/>
    <col min="4371" max="4596" width="9.140625" style="162"/>
    <col min="4597" max="4597" width="13.7109375" style="162" customWidth="1"/>
    <col min="4598" max="4598" width="10.28515625" style="162" customWidth="1"/>
    <col min="4599" max="4599" width="13.7109375" style="162" customWidth="1"/>
    <col min="4600" max="4601" width="20.5703125" style="162" customWidth="1"/>
    <col min="4602" max="4602" width="13.7109375" style="162" customWidth="1"/>
    <col min="4603" max="4603" width="24" style="162" customWidth="1"/>
    <col min="4604" max="4604" width="34.28515625" style="162" customWidth="1"/>
    <col min="4605" max="4626" width="20.5703125" style="162" customWidth="1"/>
    <col min="4627" max="4852" width="9.140625" style="162"/>
    <col min="4853" max="4853" width="13.7109375" style="162" customWidth="1"/>
    <col min="4854" max="4854" width="10.28515625" style="162" customWidth="1"/>
    <col min="4855" max="4855" width="13.7109375" style="162" customWidth="1"/>
    <col min="4856" max="4857" width="20.5703125" style="162" customWidth="1"/>
    <col min="4858" max="4858" width="13.7109375" style="162" customWidth="1"/>
    <col min="4859" max="4859" width="24" style="162" customWidth="1"/>
    <col min="4860" max="4860" width="34.28515625" style="162" customWidth="1"/>
    <col min="4861" max="4882" width="20.5703125" style="162" customWidth="1"/>
    <col min="4883" max="5108" width="9.140625" style="162"/>
    <col min="5109" max="5109" width="13.7109375" style="162" customWidth="1"/>
    <col min="5110" max="5110" width="10.28515625" style="162" customWidth="1"/>
    <col min="5111" max="5111" width="13.7109375" style="162" customWidth="1"/>
    <col min="5112" max="5113" width="20.5703125" style="162" customWidth="1"/>
    <col min="5114" max="5114" width="13.7109375" style="162" customWidth="1"/>
    <col min="5115" max="5115" width="24" style="162" customWidth="1"/>
    <col min="5116" max="5116" width="34.28515625" style="162" customWidth="1"/>
    <col min="5117" max="5138" width="20.5703125" style="162" customWidth="1"/>
    <col min="5139" max="5364" width="9.140625" style="162"/>
    <col min="5365" max="5365" width="13.7109375" style="162" customWidth="1"/>
    <col min="5366" max="5366" width="10.28515625" style="162" customWidth="1"/>
    <col min="5367" max="5367" width="13.7109375" style="162" customWidth="1"/>
    <col min="5368" max="5369" width="20.5703125" style="162" customWidth="1"/>
    <col min="5370" max="5370" width="13.7109375" style="162" customWidth="1"/>
    <col min="5371" max="5371" width="24" style="162" customWidth="1"/>
    <col min="5372" max="5372" width="34.28515625" style="162" customWidth="1"/>
    <col min="5373" max="5394" width="20.5703125" style="162" customWidth="1"/>
    <col min="5395" max="5620" width="9.140625" style="162"/>
    <col min="5621" max="5621" width="13.7109375" style="162" customWidth="1"/>
    <col min="5622" max="5622" width="10.28515625" style="162" customWidth="1"/>
    <col min="5623" max="5623" width="13.7109375" style="162" customWidth="1"/>
    <col min="5624" max="5625" width="20.5703125" style="162" customWidth="1"/>
    <col min="5626" max="5626" width="13.7109375" style="162" customWidth="1"/>
    <col min="5627" max="5627" width="24" style="162" customWidth="1"/>
    <col min="5628" max="5628" width="34.28515625" style="162" customWidth="1"/>
    <col min="5629" max="5650" width="20.5703125" style="162" customWidth="1"/>
    <col min="5651" max="5876" width="9.140625" style="162"/>
    <col min="5877" max="5877" width="13.7109375" style="162" customWidth="1"/>
    <col min="5878" max="5878" width="10.28515625" style="162" customWidth="1"/>
    <col min="5879" max="5879" width="13.7109375" style="162" customWidth="1"/>
    <col min="5880" max="5881" width="20.5703125" style="162" customWidth="1"/>
    <col min="5882" max="5882" width="13.7109375" style="162" customWidth="1"/>
    <col min="5883" max="5883" width="24" style="162" customWidth="1"/>
    <col min="5884" max="5884" width="34.28515625" style="162" customWidth="1"/>
    <col min="5885" max="5906" width="20.5703125" style="162" customWidth="1"/>
    <col min="5907" max="6132" width="9.140625" style="162"/>
    <col min="6133" max="6133" width="13.7109375" style="162" customWidth="1"/>
    <col min="6134" max="6134" width="10.28515625" style="162" customWidth="1"/>
    <col min="6135" max="6135" width="13.7109375" style="162" customWidth="1"/>
    <col min="6136" max="6137" width="20.5703125" style="162" customWidth="1"/>
    <col min="6138" max="6138" width="13.7109375" style="162" customWidth="1"/>
    <col min="6139" max="6139" width="24" style="162" customWidth="1"/>
    <col min="6140" max="6140" width="34.28515625" style="162" customWidth="1"/>
    <col min="6141" max="6162" width="20.5703125" style="162" customWidth="1"/>
    <col min="6163" max="6388" width="9.140625" style="162"/>
    <col min="6389" max="6389" width="13.7109375" style="162" customWidth="1"/>
    <col min="6390" max="6390" width="10.28515625" style="162" customWidth="1"/>
    <col min="6391" max="6391" width="13.7109375" style="162" customWidth="1"/>
    <col min="6392" max="6393" width="20.5703125" style="162" customWidth="1"/>
    <col min="6394" max="6394" width="13.7109375" style="162" customWidth="1"/>
    <col min="6395" max="6395" width="24" style="162" customWidth="1"/>
    <col min="6396" max="6396" width="34.28515625" style="162" customWidth="1"/>
    <col min="6397" max="6418" width="20.5703125" style="162" customWidth="1"/>
    <col min="6419" max="6644" width="9.140625" style="162"/>
    <col min="6645" max="6645" width="13.7109375" style="162" customWidth="1"/>
    <col min="6646" max="6646" width="10.28515625" style="162" customWidth="1"/>
    <col min="6647" max="6647" width="13.7109375" style="162" customWidth="1"/>
    <col min="6648" max="6649" width="20.5703125" style="162" customWidth="1"/>
    <col min="6650" max="6650" width="13.7109375" style="162" customWidth="1"/>
    <col min="6651" max="6651" width="24" style="162" customWidth="1"/>
    <col min="6652" max="6652" width="34.28515625" style="162" customWidth="1"/>
    <col min="6653" max="6674" width="20.5703125" style="162" customWidth="1"/>
    <col min="6675" max="6900" width="9.140625" style="162"/>
    <col min="6901" max="6901" width="13.7109375" style="162" customWidth="1"/>
    <col min="6902" max="6902" width="10.28515625" style="162" customWidth="1"/>
    <col min="6903" max="6903" width="13.7109375" style="162" customWidth="1"/>
    <col min="6904" max="6905" width="20.5703125" style="162" customWidth="1"/>
    <col min="6906" max="6906" width="13.7109375" style="162" customWidth="1"/>
    <col min="6907" max="6907" width="24" style="162" customWidth="1"/>
    <col min="6908" max="6908" width="34.28515625" style="162" customWidth="1"/>
    <col min="6909" max="6930" width="20.5703125" style="162" customWidth="1"/>
    <col min="6931" max="7156" width="9.140625" style="162"/>
    <col min="7157" max="7157" width="13.7109375" style="162" customWidth="1"/>
    <col min="7158" max="7158" width="10.28515625" style="162" customWidth="1"/>
    <col min="7159" max="7159" width="13.7109375" style="162" customWidth="1"/>
    <col min="7160" max="7161" width="20.5703125" style="162" customWidth="1"/>
    <col min="7162" max="7162" width="13.7109375" style="162" customWidth="1"/>
    <col min="7163" max="7163" width="24" style="162" customWidth="1"/>
    <col min="7164" max="7164" width="34.28515625" style="162" customWidth="1"/>
    <col min="7165" max="7186" width="20.5703125" style="162" customWidth="1"/>
    <col min="7187" max="7412" width="9.140625" style="162"/>
    <col min="7413" max="7413" width="13.7109375" style="162" customWidth="1"/>
    <col min="7414" max="7414" width="10.28515625" style="162" customWidth="1"/>
    <col min="7415" max="7415" width="13.7109375" style="162" customWidth="1"/>
    <col min="7416" max="7417" width="20.5703125" style="162" customWidth="1"/>
    <col min="7418" max="7418" width="13.7109375" style="162" customWidth="1"/>
    <col min="7419" max="7419" width="24" style="162" customWidth="1"/>
    <col min="7420" max="7420" width="34.28515625" style="162" customWidth="1"/>
    <col min="7421" max="7442" width="20.5703125" style="162" customWidth="1"/>
    <col min="7443" max="7668" width="9.140625" style="162"/>
    <col min="7669" max="7669" width="13.7109375" style="162" customWidth="1"/>
    <col min="7670" max="7670" width="10.28515625" style="162" customWidth="1"/>
    <col min="7671" max="7671" width="13.7109375" style="162" customWidth="1"/>
    <col min="7672" max="7673" width="20.5703125" style="162" customWidth="1"/>
    <col min="7674" max="7674" width="13.7109375" style="162" customWidth="1"/>
    <col min="7675" max="7675" width="24" style="162" customWidth="1"/>
    <col min="7676" max="7676" width="34.28515625" style="162" customWidth="1"/>
    <col min="7677" max="7698" width="20.5703125" style="162" customWidth="1"/>
    <col min="7699" max="7924" width="9.140625" style="162"/>
    <col min="7925" max="7925" width="13.7109375" style="162" customWidth="1"/>
    <col min="7926" max="7926" width="10.28515625" style="162" customWidth="1"/>
    <col min="7927" max="7927" width="13.7109375" style="162" customWidth="1"/>
    <col min="7928" max="7929" width="20.5703125" style="162" customWidth="1"/>
    <col min="7930" max="7930" width="13.7109375" style="162" customWidth="1"/>
    <col min="7931" max="7931" width="24" style="162" customWidth="1"/>
    <col min="7932" max="7932" width="34.28515625" style="162" customWidth="1"/>
    <col min="7933" max="7954" width="20.5703125" style="162" customWidth="1"/>
    <col min="7955" max="8180" width="9.140625" style="162"/>
    <col min="8181" max="8181" width="13.7109375" style="162" customWidth="1"/>
    <col min="8182" max="8182" width="10.28515625" style="162" customWidth="1"/>
    <col min="8183" max="8183" width="13.7109375" style="162" customWidth="1"/>
    <col min="8184" max="8185" width="20.5703125" style="162" customWidth="1"/>
    <col min="8186" max="8186" width="13.7109375" style="162" customWidth="1"/>
    <col min="8187" max="8187" width="24" style="162" customWidth="1"/>
    <col min="8188" max="8188" width="34.28515625" style="162" customWidth="1"/>
    <col min="8189" max="8210" width="20.5703125" style="162" customWidth="1"/>
    <col min="8211" max="8436" width="9.140625" style="162"/>
    <col min="8437" max="8437" width="13.7109375" style="162" customWidth="1"/>
    <col min="8438" max="8438" width="10.28515625" style="162" customWidth="1"/>
    <col min="8439" max="8439" width="13.7109375" style="162" customWidth="1"/>
    <col min="8440" max="8441" width="20.5703125" style="162" customWidth="1"/>
    <col min="8442" max="8442" width="13.7109375" style="162" customWidth="1"/>
    <col min="8443" max="8443" width="24" style="162" customWidth="1"/>
    <col min="8444" max="8444" width="34.28515625" style="162" customWidth="1"/>
    <col min="8445" max="8466" width="20.5703125" style="162" customWidth="1"/>
    <col min="8467" max="8692" width="9.140625" style="162"/>
    <col min="8693" max="8693" width="13.7109375" style="162" customWidth="1"/>
    <col min="8694" max="8694" width="10.28515625" style="162" customWidth="1"/>
    <col min="8695" max="8695" width="13.7109375" style="162" customWidth="1"/>
    <col min="8696" max="8697" width="20.5703125" style="162" customWidth="1"/>
    <col min="8698" max="8698" width="13.7109375" style="162" customWidth="1"/>
    <col min="8699" max="8699" width="24" style="162" customWidth="1"/>
    <col min="8700" max="8700" width="34.28515625" style="162" customWidth="1"/>
    <col min="8701" max="8722" width="20.5703125" style="162" customWidth="1"/>
    <col min="8723" max="8948" width="9.140625" style="162"/>
    <col min="8949" max="8949" width="13.7109375" style="162" customWidth="1"/>
    <col min="8950" max="8950" width="10.28515625" style="162" customWidth="1"/>
    <col min="8951" max="8951" width="13.7109375" style="162" customWidth="1"/>
    <col min="8952" max="8953" width="20.5703125" style="162" customWidth="1"/>
    <col min="8954" max="8954" width="13.7109375" style="162" customWidth="1"/>
    <col min="8955" max="8955" width="24" style="162" customWidth="1"/>
    <col min="8956" max="8956" width="34.28515625" style="162" customWidth="1"/>
    <col min="8957" max="8978" width="20.5703125" style="162" customWidth="1"/>
    <col min="8979" max="9204" width="9.140625" style="162"/>
    <col min="9205" max="9205" width="13.7109375" style="162" customWidth="1"/>
    <col min="9206" max="9206" width="10.28515625" style="162" customWidth="1"/>
    <col min="9207" max="9207" width="13.7109375" style="162" customWidth="1"/>
    <col min="9208" max="9209" width="20.5703125" style="162" customWidth="1"/>
    <col min="9210" max="9210" width="13.7109375" style="162" customWidth="1"/>
    <col min="9211" max="9211" width="24" style="162" customWidth="1"/>
    <col min="9212" max="9212" width="34.28515625" style="162" customWidth="1"/>
    <col min="9213" max="9234" width="20.5703125" style="162" customWidth="1"/>
    <col min="9235" max="9460" width="9.140625" style="162"/>
    <col min="9461" max="9461" width="13.7109375" style="162" customWidth="1"/>
    <col min="9462" max="9462" width="10.28515625" style="162" customWidth="1"/>
    <col min="9463" max="9463" width="13.7109375" style="162" customWidth="1"/>
    <col min="9464" max="9465" width="20.5703125" style="162" customWidth="1"/>
    <col min="9466" max="9466" width="13.7109375" style="162" customWidth="1"/>
    <col min="9467" max="9467" width="24" style="162" customWidth="1"/>
    <col min="9468" max="9468" width="34.28515625" style="162" customWidth="1"/>
    <col min="9469" max="9490" width="20.5703125" style="162" customWidth="1"/>
    <col min="9491" max="9716" width="9.140625" style="162"/>
    <col min="9717" max="9717" width="13.7109375" style="162" customWidth="1"/>
    <col min="9718" max="9718" width="10.28515625" style="162" customWidth="1"/>
    <col min="9719" max="9719" width="13.7109375" style="162" customWidth="1"/>
    <col min="9720" max="9721" width="20.5703125" style="162" customWidth="1"/>
    <col min="9722" max="9722" width="13.7109375" style="162" customWidth="1"/>
    <col min="9723" max="9723" width="24" style="162" customWidth="1"/>
    <col min="9724" max="9724" width="34.28515625" style="162" customWidth="1"/>
    <col min="9725" max="9746" width="20.5703125" style="162" customWidth="1"/>
    <col min="9747" max="9972" width="9.140625" style="162"/>
    <col min="9973" max="9973" width="13.7109375" style="162" customWidth="1"/>
    <col min="9974" max="9974" width="10.28515625" style="162" customWidth="1"/>
    <col min="9975" max="9975" width="13.7109375" style="162" customWidth="1"/>
    <col min="9976" max="9977" width="20.5703125" style="162" customWidth="1"/>
    <col min="9978" max="9978" width="13.7109375" style="162" customWidth="1"/>
    <col min="9979" max="9979" width="24" style="162" customWidth="1"/>
    <col min="9980" max="9980" width="34.28515625" style="162" customWidth="1"/>
    <col min="9981" max="10002" width="20.5703125" style="162" customWidth="1"/>
    <col min="10003" max="10228" width="9.140625" style="162"/>
    <col min="10229" max="10229" width="13.7109375" style="162" customWidth="1"/>
    <col min="10230" max="10230" width="10.28515625" style="162" customWidth="1"/>
    <col min="10231" max="10231" width="13.7109375" style="162" customWidth="1"/>
    <col min="10232" max="10233" width="20.5703125" style="162" customWidth="1"/>
    <col min="10234" max="10234" width="13.7109375" style="162" customWidth="1"/>
    <col min="10235" max="10235" width="24" style="162" customWidth="1"/>
    <col min="10236" max="10236" width="34.28515625" style="162" customWidth="1"/>
    <col min="10237" max="10258" width="20.5703125" style="162" customWidth="1"/>
    <col min="10259" max="10484" width="9.140625" style="162"/>
    <col min="10485" max="10485" width="13.7109375" style="162" customWidth="1"/>
    <col min="10486" max="10486" width="10.28515625" style="162" customWidth="1"/>
    <col min="10487" max="10487" width="13.7109375" style="162" customWidth="1"/>
    <col min="10488" max="10489" width="20.5703125" style="162" customWidth="1"/>
    <col min="10490" max="10490" width="13.7109375" style="162" customWidth="1"/>
    <col min="10491" max="10491" width="24" style="162" customWidth="1"/>
    <col min="10492" max="10492" width="34.28515625" style="162" customWidth="1"/>
    <col min="10493" max="10514" width="20.5703125" style="162" customWidth="1"/>
    <col min="10515" max="10740" width="9.140625" style="162"/>
    <col min="10741" max="10741" width="13.7109375" style="162" customWidth="1"/>
    <col min="10742" max="10742" width="10.28515625" style="162" customWidth="1"/>
    <col min="10743" max="10743" width="13.7109375" style="162" customWidth="1"/>
    <col min="10744" max="10745" width="20.5703125" style="162" customWidth="1"/>
    <col min="10746" max="10746" width="13.7109375" style="162" customWidth="1"/>
    <col min="10747" max="10747" width="24" style="162" customWidth="1"/>
    <col min="10748" max="10748" width="34.28515625" style="162" customWidth="1"/>
    <col min="10749" max="10770" width="20.5703125" style="162" customWidth="1"/>
    <col min="10771" max="10996" width="9.140625" style="162"/>
    <col min="10997" max="10997" width="13.7109375" style="162" customWidth="1"/>
    <col min="10998" max="10998" width="10.28515625" style="162" customWidth="1"/>
    <col min="10999" max="10999" width="13.7109375" style="162" customWidth="1"/>
    <col min="11000" max="11001" width="20.5703125" style="162" customWidth="1"/>
    <col min="11002" max="11002" width="13.7109375" style="162" customWidth="1"/>
    <col min="11003" max="11003" width="24" style="162" customWidth="1"/>
    <col min="11004" max="11004" width="34.28515625" style="162" customWidth="1"/>
    <col min="11005" max="11026" width="20.5703125" style="162" customWidth="1"/>
    <col min="11027" max="11252" width="9.140625" style="162"/>
    <col min="11253" max="11253" width="13.7109375" style="162" customWidth="1"/>
    <col min="11254" max="11254" width="10.28515625" style="162" customWidth="1"/>
    <col min="11255" max="11255" width="13.7109375" style="162" customWidth="1"/>
    <col min="11256" max="11257" width="20.5703125" style="162" customWidth="1"/>
    <col min="11258" max="11258" width="13.7109375" style="162" customWidth="1"/>
    <col min="11259" max="11259" width="24" style="162" customWidth="1"/>
    <col min="11260" max="11260" width="34.28515625" style="162" customWidth="1"/>
    <col min="11261" max="11282" width="20.5703125" style="162" customWidth="1"/>
    <col min="11283" max="11508" width="9.140625" style="162"/>
    <col min="11509" max="11509" width="13.7109375" style="162" customWidth="1"/>
    <col min="11510" max="11510" width="10.28515625" style="162" customWidth="1"/>
    <col min="11511" max="11511" width="13.7109375" style="162" customWidth="1"/>
    <col min="11512" max="11513" width="20.5703125" style="162" customWidth="1"/>
    <col min="11514" max="11514" width="13.7109375" style="162" customWidth="1"/>
    <col min="11515" max="11515" width="24" style="162" customWidth="1"/>
    <col min="11516" max="11516" width="34.28515625" style="162" customWidth="1"/>
    <col min="11517" max="11538" width="20.5703125" style="162" customWidth="1"/>
    <col min="11539" max="11764" width="9.140625" style="162"/>
    <col min="11765" max="11765" width="13.7109375" style="162" customWidth="1"/>
    <col min="11766" max="11766" width="10.28515625" style="162" customWidth="1"/>
    <col min="11767" max="11767" width="13.7109375" style="162" customWidth="1"/>
    <col min="11768" max="11769" width="20.5703125" style="162" customWidth="1"/>
    <col min="11770" max="11770" width="13.7109375" style="162" customWidth="1"/>
    <col min="11771" max="11771" width="24" style="162" customWidth="1"/>
    <col min="11772" max="11772" width="34.28515625" style="162" customWidth="1"/>
    <col min="11773" max="11794" width="20.5703125" style="162" customWidth="1"/>
    <col min="11795" max="12020" width="9.140625" style="162"/>
    <col min="12021" max="12021" width="13.7109375" style="162" customWidth="1"/>
    <col min="12022" max="12022" width="10.28515625" style="162" customWidth="1"/>
    <col min="12023" max="12023" width="13.7109375" style="162" customWidth="1"/>
    <col min="12024" max="12025" width="20.5703125" style="162" customWidth="1"/>
    <col min="12026" max="12026" width="13.7109375" style="162" customWidth="1"/>
    <col min="12027" max="12027" width="24" style="162" customWidth="1"/>
    <col min="12028" max="12028" width="34.28515625" style="162" customWidth="1"/>
    <col min="12029" max="12050" width="20.5703125" style="162" customWidth="1"/>
    <col min="12051" max="12276" width="9.140625" style="162"/>
    <col min="12277" max="12277" width="13.7109375" style="162" customWidth="1"/>
    <col min="12278" max="12278" width="10.28515625" style="162" customWidth="1"/>
    <col min="12279" max="12279" width="13.7109375" style="162" customWidth="1"/>
    <col min="12280" max="12281" width="20.5703125" style="162" customWidth="1"/>
    <col min="12282" max="12282" width="13.7109375" style="162" customWidth="1"/>
    <col min="12283" max="12283" width="24" style="162" customWidth="1"/>
    <col min="12284" max="12284" width="34.28515625" style="162" customWidth="1"/>
    <col min="12285" max="12306" width="20.5703125" style="162" customWidth="1"/>
    <col min="12307" max="12532" width="9.140625" style="162"/>
    <col min="12533" max="12533" width="13.7109375" style="162" customWidth="1"/>
    <col min="12534" max="12534" width="10.28515625" style="162" customWidth="1"/>
    <col min="12535" max="12535" width="13.7109375" style="162" customWidth="1"/>
    <col min="12536" max="12537" width="20.5703125" style="162" customWidth="1"/>
    <col min="12538" max="12538" width="13.7109375" style="162" customWidth="1"/>
    <col min="12539" max="12539" width="24" style="162" customWidth="1"/>
    <col min="12540" max="12540" width="34.28515625" style="162" customWidth="1"/>
    <col min="12541" max="12562" width="20.5703125" style="162" customWidth="1"/>
    <col min="12563" max="12788" width="9.140625" style="162"/>
    <col min="12789" max="12789" width="13.7109375" style="162" customWidth="1"/>
    <col min="12790" max="12790" width="10.28515625" style="162" customWidth="1"/>
    <col min="12791" max="12791" width="13.7109375" style="162" customWidth="1"/>
    <col min="12792" max="12793" width="20.5703125" style="162" customWidth="1"/>
    <col min="12794" max="12794" width="13.7109375" style="162" customWidth="1"/>
    <col min="12795" max="12795" width="24" style="162" customWidth="1"/>
    <col min="12796" max="12796" width="34.28515625" style="162" customWidth="1"/>
    <col min="12797" max="12818" width="20.5703125" style="162" customWidth="1"/>
    <col min="12819" max="13044" width="9.140625" style="162"/>
    <col min="13045" max="13045" width="13.7109375" style="162" customWidth="1"/>
    <col min="13046" max="13046" width="10.28515625" style="162" customWidth="1"/>
    <col min="13047" max="13047" width="13.7109375" style="162" customWidth="1"/>
    <col min="13048" max="13049" width="20.5703125" style="162" customWidth="1"/>
    <col min="13050" max="13050" width="13.7109375" style="162" customWidth="1"/>
    <col min="13051" max="13051" width="24" style="162" customWidth="1"/>
    <col min="13052" max="13052" width="34.28515625" style="162" customWidth="1"/>
    <col min="13053" max="13074" width="20.5703125" style="162" customWidth="1"/>
    <col min="13075" max="13300" width="9.140625" style="162"/>
    <col min="13301" max="13301" width="13.7109375" style="162" customWidth="1"/>
    <col min="13302" max="13302" width="10.28515625" style="162" customWidth="1"/>
    <col min="13303" max="13303" width="13.7109375" style="162" customWidth="1"/>
    <col min="13304" max="13305" width="20.5703125" style="162" customWidth="1"/>
    <col min="13306" max="13306" width="13.7109375" style="162" customWidth="1"/>
    <col min="13307" max="13307" width="24" style="162" customWidth="1"/>
    <col min="13308" max="13308" width="34.28515625" style="162" customWidth="1"/>
    <col min="13309" max="13330" width="20.5703125" style="162" customWidth="1"/>
    <col min="13331" max="13556" width="9.140625" style="162"/>
    <col min="13557" max="13557" width="13.7109375" style="162" customWidth="1"/>
    <col min="13558" max="13558" width="10.28515625" style="162" customWidth="1"/>
    <col min="13559" max="13559" width="13.7109375" style="162" customWidth="1"/>
    <col min="13560" max="13561" width="20.5703125" style="162" customWidth="1"/>
    <col min="13562" max="13562" width="13.7109375" style="162" customWidth="1"/>
    <col min="13563" max="13563" width="24" style="162" customWidth="1"/>
    <col min="13564" max="13564" width="34.28515625" style="162" customWidth="1"/>
    <col min="13565" max="13586" width="20.5703125" style="162" customWidth="1"/>
    <col min="13587" max="13812" width="9.140625" style="162"/>
    <col min="13813" max="13813" width="13.7109375" style="162" customWidth="1"/>
    <col min="13814" max="13814" width="10.28515625" style="162" customWidth="1"/>
    <col min="13815" max="13815" width="13.7109375" style="162" customWidth="1"/>
    <col min="13816" max="13817" width="20.5703125" style="162" customWidth="1"/>
    <col min="13818" max="13818" width="13.7109375" style="162" customWidth="1"/>
    <col min="13819" max="13819" width="24" style="162" customWidth="1"/>
    <col min="13820" max="13820" width="34.28515625" style="162" customWidth="1"/>
    <col min="13821" max="13842" width="20.5703125" style="162" customWidth="1"/>
    <col min="13843" max="14068" width="9.140625" style="162"/>
    <col min="14069" max="14069" width="13.7109375" style="162" customWidth="1"/>
    <col min="14070" max="14070" width="10.28515625" style="162" customWidth="1"/>
    <col min="14071" max="14071" width="13.7109375" style="162" customWidth="1"/>
    <col min="14072" max="14073" width="20.5703125" style="162" customWidth="1"/>
    <col min="14074" max="14074" width="13.7109375" style="162" customWidth="1"/>
    <col min="14075" max="14075" width="24" style="162" customWidth="1"/>
    <col min="14076" max="14076" width="34.28515625" style="162" customWidth="1"/>
    <col min="14077" max="14098" width="20.5703125" style="162" customWidth="1"/>
    <col min="14099" max="14324" width="9.140625" style="162"/>
    <col min="14325" max="14325" width="13.7109375" style="162" customWidth="1"/>
    <col min="14326" max="14326" width="10.28515625" style="162" customWidth="1"/>
    <col min="14327" max="14327" width="13.7109375" style="162" customWidth="1"/>
    <col min="14328" max="14329" width="20.5703125" style="162" customWidth="1"/>
    <col min="14330" max="14330" width="13.7109375" style="162" customWidth="1"/>
    <col min="14331" max="14331" width="24" style="162" customWidth="1"/>
    <col min="14332" max="14332" width="34.28515625" style="162" customWidth="1"/>
    <col min="14333" max="14354" width="20.5703125" style="162" customWidth="1"/>
    <col min="14355" max="14580" width="9.140625" style="162"/>
    <col min="14581" max="14581" width="13.7109375" style="162" customWidth="1"/>
    <col min="14582" max="14582" width="10.28515625" style="162" customWidth="1"/>
    <col min="14583" max="14583" width="13.7109375" style="162" customWidth="1"/>
    <col min="14584" max="14585" width="20.5703125" style="162" customWidth="1"/>
    <col min="14586" max="14586" width="13.7109375" style="162" customWidth="1"/>
    <col min="14587" max="14587" width="24" style="162" customWidth="1"/>
    <col min="14588" max="14588" width="34.28515625" style="162" customWidth="1"/>
    <col min="14589" max="14610" width="20.5703125" style="162" customWidth="1"/>
    <col min="14611" max="14836" width="9.140625" style="162"/>
    <col min="14837" max="14837" width="13.7109375" style="162" customWidth="1"/>
    <col min="14838" max="14838" width="10.28515625" style="162" customWidth="1"/>
    <col min="14839" max="14839" width="13.7109375" style="162" customWidth="1"/>
    <col min="14840" max="14841" width="20.5703125" style="162" customWidth="1"/>
    <col min="14842" max="14842" width="13.7109375" style="162" customWidth="1"/>
    <col min="14843" max="14843" width="24" style="162" customWidth="1"/>
    <col min="14844" max="14844" width="34.28515625" style="162" customWidth="1"/>
    <col min="14845" max="14866" width="20.5703125" style="162" customWidth="1"/>
    <col min="14867" max="15092" width="9.140625" style="162"/>
    <col min="15093" max="15093" width="13.7109375" style="162" customWidth="1"/>
    <col min="15094" max="15094" width="10.28515625" style="162" customWidth="1"/>
    <col min="15095" max="15095" width="13.7109375" style="162" customWidth="1"/>
    <col min="15096" max="15097" width="20.5703125" style="162" customWidth="1"/>
    <col min="15098" max="15098" width="13.7109375" style="162" customWidth="1"/>
    <col min="15099" max="15099" width="24" style="162" customWidth="1"/>
    <col min="15100" max="15100" width="34.28515625" style="162" customWidth="1"/>
    <col min="15101" max="15122" width="20.5703125" style="162" customWidth="1"/>
    <col min="15123" max="15348" width="9.140625" style="162"/>
    <col min="15349" max="15349" width="13.7109375" style="162" customWidth="1"/>
    <col min="15350" max="15350" width="10.28515625" style="162" customWidth="1"/>
    <col min="15351" max="15351" width="13.7109375" style="162" customWidth="1"/>
    <col min="15352" max="15353" width="20.5703125" style="162" customWidth="1"/>
    <col min="15354" max="15354" width="13.7109375" style="162" customWidth="1"/>
    <col min="15355" max="15355" width="24" style="162" customWidth="1"/>
    <col min="15356" max="15356" width="34.28515625" style="162" customWidth="1"/>
    <col min="15357" max="15378" width="20.5703125" style="162" customWidth="1"/>
    <col min="15379" max="15604" width="9.140625" style="162"/>
    <col min="15605" max="15605" width="13.7109375" style="162" customWidth="1"/>
    <col min="15606" max="15606" width="10.28515625" style="162" customWidth="1"/>
    <col min="15607" max="15607" width="13.7109375" style="162" customWidth="1"/>
    <col min="15608" max="15609" width="20.5703125" style="162" customWidth="1"/>
    <col min="15610" max="15610" width="13.7109375" style="162" customWidth="1"/>
    <col min="15611" max="15611" width="24" style="162" customWidth="1"/>
    <col min="15612" max="15612" width="34.28515625" style="162" customWidth="1"/>
    <col min="15613" max="15634" width="20.5703125" style="162" customWidth="1"/>
    <col min="15635" max="15860" width="9.140625" style="162"/>
    <col min="15861" max="15861" width="13.7109375" style="162" customWidth="1"/>
    <col min="15862" max="15862" width="10.28515625" style="162" customWidth="1"/>
    <col min="15863" max="15863" width="13.7109375" style="162" customWidth="1"/>
    <col min="15864" max="15865" width="20.5703125" style="162" customWidth="1"/>
    <col min="15866" max="15866" width="13.7109375" style="162" customWidth="1"/>
    <col min="15867" max="15867" width="24" style="162" customWidth="1"/>
    <col min="15868" max="15868" width="34.28515625" style="162" customWidth="1"/>
    <col min="15869" max="15890" width="20.5703125" style="162" customWidth="1"/>
    <col min="15891" max="16116" width="9.140625" style="162"/>
    <col min="16117" max="16117" width="13.7109375" style="162" customWidth="1"/>
    <col min="16118" max="16118" width="10.28515625" style="162" customWidth="1"/>
    <col min="16119" max="16119" width="13.7109375" style="162" customWidth="1"/>
    <col min="16120" max="16121" width="20.5703125" style="162" customWidth="1"/>
    <col min="16122" max="16122" width="13.7109375" style="162" customWidth="1"/>
    <col min="16123" max="16123" width="24" style="162" customWidth="1"/>
    <col min="16124" max="16124" width="34.28515625" style="162" customWidth="1"/>
    <col min="16125" max="16146" width="20.5703125" style="162" customWidth="1"/>
    <col min="16147" max="16372" width="9.140625" style="162"/>
    <col min="16373" max="16384" width="9.140625" style="162" customWidth="1"/>
  </cols>
  <sheetData>
    <row r="1" spans="1:54" ht="13.15" customHeight="1">
      <c r="A1" s="544" t="s">
        <v>655</v>
      </c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544"/>
      <c r="Q1" s="544"/>
      <c r="R1" s="544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</row>
    <row r="2" spans="1:54" ht="13.15" customHeight="1">
      <c r="A2" s="544" t="s">
        <v>111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</row>
    <row r="3" spans="1:54" ht="13.15" customHeight="1">
      <c r="A3" s="544" t="s">
        <v>2076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</row>
    <row r="4" spans="1:54" ht="13.15" customHeight="1">
      <c r="A4" s="544" t="s">
        <v>2077</v>
      </c>
      <c r="B4" s="544"/>
      <c r="C4" s="544"/>
      <c r="D4" s="544"/>
      <c r="E4" s="544"/>
      <c r="F4" s="544"/>
      <c r="G4" s="544"/>
      <c r="H4" s="544"/>
      <c r="I4" s="544"/>
      <c r="J4" s="544"/>
      <c r="K4" s="544"/>
      <c r="L4" s="544"/>
      <c r="M4" s="544"/>
      <c r="N4" s="544"/>
      <c r="O4" s="544"/>
      <c r="P4" s="544"/>
      <c r="Q4" s="544"/>
      <c r="R4" s="544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</row>
    <row r="5" spans="1:54" ht="13.15" customHeight="1">
      <c r="A5" s="544" t="s">
        <v>1790</v>
      </c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</row>
    <row r="6" spans="1:54" ht="26.25" customHeight="1">
      <c r="A6" s="290" t="s">
        <v>115</v>
      </c>
      <c r="B6" s="290" t="s">
        <v>116</v>
      </c>
      <c r="C6" s="290" t="s">
        <v>94</v>
      </c>
      <c r="D6" s="290" t="s">
        <v>117</v>
      </c>
      <c r="E6" s="290"/>
      <c r="F6" s="290" t="s">
        <v>656</v>
      </c>
      <c r="G6" s="290" t="s">
        <v>118</v>
      </c>
      <c r="H6" s="290" t="s">
        <v>119</v>
      </c>
      <c r="I6" s="290" t="s">
        <v>95</v>
      </c>
      <c r="J6" s="290" t="s">
        <v>120</v>
      </c>
      <c r="K6" s="290" t="s">
        <v>121</v>
      </c>
      <c r="L6" s="290" t="s">
        <v>122</v>
      </c>
      <c r="M6" s="290" t="s">
        <v>123</v>
      </c>
      <c r="N6" s="290" t="s">
        <v>348</v>
      </c>
      <c r="O6" s="290" t="s">
        <v>657</v>
      </c>
      <c r="P6" s="290" t="s">
        <v>658</v>
      </c>
      <c r="Q6" s="290" t="s">
        <v>124</v>
      </c>
      <c r="R6" s="290" t="s">
        <v>96</v>
      </c>
      <c r="S6" s="290" t="s">
        <v>659</v>
      </c>
      <c r="T6" s="290" t="s">
        <v>464</v>
      </c>
      <c r="U6" s="290" t="s">
        <v>660</v>
      </c>
      <c r="V6" s="290" t="s">
        <v>661</v>
      </c>
      <c r="W6" s="290" t="s">
        <v>662</v>
      </c>
      <c r="X6" s="290" t="s">
        <v>663</v>
      </c>
      <c r="Y6" s="290" t="s">
        <v>664</v>
      </c>
      <c r="Z6" s="290" t="s">
        <v>665</v>
      </c>
      <c r="AA6" s="290" t="s">
        <v>667</v>
      </c>
      <c r="AB6" s="290" t="s">
        <v>666</v>
      </c>
      <c r="AC6" s="290" t="s">
        <v>668</v>
      </c>
      <c r="AD6" s="290" t="s">
        <v>669</v>
      </c>
      <c r="AE6" s="290" t="s">
        <v>1932</v>
      </c>
      <c r="AF6" s="290" t="s">
        <v>670</v>
      </c>
      <c r="AG6" s="290" t="s">
        <v>1791</v>
      </c>
      <c r="AH6" s="290" t="s">
        <v>671</v>
      </c>
      <c r="AI6" s="361"/>
    </row>
    <row r="7" spans="1:54" ht="15.75" customHeight="1">
      <c r="A7" s="291">
        <v>32095</v>
      </c>
      <c r="B7" s="291">
        <v>43131</v>
      </c>
      <c r="C7" s="292" t="s">
        <v>672</v>
      </c>
      <c r="D7" s="293" t="s">
        <v>147</v>
      </c>
      <c r="E7" s="293" t="str">
        <f>RIGHT(D7,1)</f>
        <v>Q</v>
      </c>
      <c r="F7" s="293" t="s">
        <v>126</v>
      </c>
      <c r="G7" s="294">
        <v>1076</v>
      </c>
      <c r="H7" s="292" t="s">
        <v>97</v>
      </c>
      <c r="I7" s="292" t="s">
        <v>2078</v>
      </c>
      <c r="J7" s="293" t="s">
        <v>470</v>
      </c>
      <c r="K7" s="293"/>
      <c r="L7" s="293" t="s">
        <v>470</v>
      </c>
      <c r="M7" s="293" t="s">
        <v>2079</v>
      </c>
      <c r="N7" s="295">
        <v>1659</v>
      </c>
      <c r="O7" s="296" t="s">
        <v>673</v>
      </c>
      <c r="P7" s="295">
        <v>0</v>
      </c>
      <c r="Q7" s="295">
        <v>0</v>
      </c>
      <c r="R7" s="295">
        <v>0</v>
      </c>
      <c r="S7" s="295">
        <v>1589</v>
      </c>
      <c r="T7" s="295">
        <v>1589</v>
      </c>
      <c r="U7" s="295">
        <v>30</v>
      </c>
      <c r="V7" s="295">
        <v>10</v>
      </c>
      <c r="W7" s="295">
        <v>5.5</v>
      </c>
      <c r="X7" s="295">
        <v>5</v>
      </c>
      <c r="Y7" s="295">
        <v>18</v>
      </c>
      <c r="Z7" s="295">
        <v>0</v>
      </c>
      <c r="AA7" s="295">
        <v>0</v>
      </c>
      <c r="AB7" s="295">
        <v>0</v>
      </c>
      <c r="AC7" s="295">
        <v>0</v>
      </c>
      <c r="AD7" s="295">
        <v>0</v>
      </c>
      <c r="AE7" s="295">
        <v>0</v>
      </c>
      <c r="AF7" s="295">
        <v>0</v>
      </c>
      <c r="AG7" s="295">
        <v>0</v>
      </c>
      <c r="AH7" s="295">
        <v>1657.5</v>
      </c>
      <c r="AI7" s="362"/>
      <c r="AJ7" s="192" t="s">
        <v>327</v>
      </c>
      <c r="AK7" s="193">
        <v>0</v>
      </c>
      <c r="AL7" s="193">
        <v>1</v>
      </c>
      <c r="AO7" s="335" t="s">
        <v>1727</v>
      </c>
      <c r="AP7" s="335"/>
      <c r="AQ7" s="160"/>
      <c r="AR7" s="160"/>
      <c r="AS7" s="160"/>
      <c r="AT7" s="160"/>
      <c r="AU7" s="160"/>
      <c r="AV7" s="275"/>
      <c r="AW7" s="275"/>
      <c r="AX7" s="275"/>
      <c r="AY7" s="275"/>
      <c r="AZ7" s="275"/>
    </row>
    <row r="8" spans="1:54" ht="15.75" customHeight="1" thickBot="1">
      <c r="A8" s="291">
        <v>31530</v>
      </c>
      <c r="B8" s="291">
        <v>42707</v>
      </c>
      <c r="C8" s="292" t="s">
        <v>674</v>
      </c>
      <c r="D8" s="293" t="s">
        <v>147</v>
      </c>
      <c r="E8" s="293" t="str">
        <f t="shared" ref="E8:E71" si="0">RIGHT(D8,1)</f>
        <v>Q</v>
      </c>
      <c r="F8" s="293" t="s">
        <v>126</v>
      </c>
      <c r="G8" s="294">
        <v>1076</v>
      </c>
      <c r="H8" s="292" t="s">
        <v>97</v>
      </c>
      <c r="I8" s="292" t="s">
        <v>675</v>
      </c>
      <c r="J8" s="293" t="s">
        <v>533</v>
      </c>
      <c r="K8" s="293"/>
      <c r="L8" s="293" t="s">
        <v>533</v>
      </c>
      <c r="M8" s="293" t="s">
        <v>519</v>
      </c>
      <c r="N8" s="295">
        <v>1659</v>
      </c>
      <c r="O8" s="296" t="s">
        <v>673</v>
      </c>
      <c r="P8" s="295">
        <v>0</v>
      </c>
      <c r="Q8" s="295">
        <v>0</v>
      </c>
      <c r="R8" s="295">
        <v>62.69</v>
      </c>
      <c r="S8" s="295">
        <v>1689</v>
      </c>
      <c r="T8" s="295">
        <v>1689</v>
      </c>
      <c r="U8" s="295">
        <v>30</v>
      </c>
      <c r="V8" s="295">
        <v>10</v>
      </c>
      <c r="W8" s="295">
        <v>5.5</v>
      </c>
      <c r="X8" s="295">
        <v>5</v>
      </c>
      <c r="Y8" s="295">
        <v>18</v>
      </c>
      <c r="Z8" s="295">
        <v>0</v>
      </c>
      <c r="AA8" s="295">
        <v>0</v>
      </c>
      <c r="AB8" s="295">
        <v>0</v>
      </c>
      <c r="AC8" s="295">
        <v>0</v>
      </c>
      <c r="AD8" s="295">
        <v>0</v>
      </c>
      <c r="AE8" s="295">
        <v>0</v>
      </c>
      <c r="AF8" s="295">
        <v>0</v>
      </c>
      <c r="AG8" s="295">
        <v>0</v>
      </c>
      <c r="AH8" s="295">
        <v>1757.5</v>
      </c>
      <c r="AI8" s="362"/>
      <c r="AJ8" s="194" t="s">
        <v>328</v>
      </c>
      <c r="AK8" s="195" t="s">
        <v>1763</v>
      </c>
      <c r="AL8" s="195">
        <v>46172</v>
      </c>
      <c r="AO8" s="306" t="s">
        <v>542</v>
      </c>
      <c r="AP8" s="306"/>
      <c r="AQ8" s="275"/>
      <c r="AR8" s="275"/>
      <c r="AS8" s="275"/>
      <c r="AT8" s="275"/>
      <c r="AU8" s="275"/>
      <c r="AV8" s="275"/>
      <c r="AW8" s="275"/>
      <c r="AX8" s="275"/>
      <c r="AY8" s="275"/>
      <c r="AZ8" s="275"/>
    </row>
    <row r="9" spans="1:54" ht="15.75" customHeight="1">
      <c r="A9" s="291">
        <v>31601</v>
      </c>
      <c r="B9" s="291">
        <v>42858</v>
      </c>
      <c r="C9" s="292" t="s">
        <v>676</v>
      </c>
      <c r="D9" s="293" t="s">
        <v>677</v>
      </c>
      <c r="E9" s="293" t="str">
        <f t="shared" si="0"/>
        <v>G</v>
      </c>
      <c r="F9" s="293" t="s">
        <v>126</v>
      </c>
      <c r="G9" s="294">
        <v>1076</v>
      </c>
      <c r="H9" s="292" t="s">
        <v>97</v>
      </c>
      <c r="I9" s="292" t="s">
        <v>925</v>
      </c>
      <c r="J9" s="293" t="s">
        <v>424</v>
      </c>
      <c r="K9" s="293"/>
      <c r="L9" s="293" t="s">
        <v>424</v>
      </c>
      <c r="M9" s="293" t="s">
        <v>1792</v>
      </c>
      <c r="N9" s="295">
        <v>1609</v>
      </c>
      <c r="O9" s="296" t="s">
        <v>673</v>
      </c>
      <c r="P9" s="295">
        <v>0</v>
      </c>
      <c r="Q9" s="295">
        <v>0</v>
      </c>
      <c r="R9" s="295">
        <v>0</v>
      </c>
      <c r="S9" s="295">
        <v>1639</v>
      </c>
      <c r="T9" s="295">
        <v>1639</v>
      </c>
      <c r="U9" s="295">
        <v>30</v>
      </c>
      <c r="V9" s="295">
        <v>10</v>
      </c>
      <c r="W9" s="295">
        <v>5.5</v>
      </c>
      <c r="X9" s="295">
        <v>5</v>
      </c>
      <c r="Y9" s="295">
        <v>18</v>
      </c>
      <c r="Z9" s="295">
        <v>30</v>
      </c>
      <c r="AA9" s="295">
        <v>0</v>
      </c>
      <c r="AB9" s="295">
        <v>0</v>
      </c>
      <c r="AC9" s="295">
        <v>0</v>
      </c>
      <c r="AD9" s="295">
        <v>0</v>
      </c>
      <c r="AE9" s="295">
        <v>0</v>
      </c>
      <c r="AF9" s="295">
        <v>0</v>
      </c>
      <c r="AG9" s="295">
        <v>0</v>
      </c>
      <c r="AH9" s="295">
        <v>1737.5</v>
      </c>
      <c r="AI9" s="362"/>
      <c r="AJ9" s="196" t="s">
        <v>329</v>
      </c>
      <c r="AK9" s="197">
        <f>+AP15</f>
        <v>8474518.9733003657</v>
      </c>
      <c r="AL9" s="197">
        <f>+AQ15</f>
        <v>8390792.8095091004</v>
      </c>
      <c r="AO9" s="307" t="s">
        <v>327</v>
      </c>
      <c r="AP9" s="540" t="s">
        <v>1761</v>
      </c>
      <c r="AQ9" s="315">
        <v>1</v>
      </c>
      <c r="AR9" s="315">
        <v>2</v>
      </c>
      <c r="AS9" s="315">
        <v>3</v>
      </c>
      <c r="AT9" s="315">
        <v>4</v>
      </c>
      <c r="AU9" s="315">
        <v>5</v>
      </c>
      <c r="AV9" s="315">
        <v>6</v>
      </c>
      <c r="AW9" s="315">
        <v>7</v>
      </c>
      <c r="AX9" s="315">
        <v>8</v>
      </c>
      <c r="AY9" s="315">
        <v>9</v>
      </c>
      <c r="AZ9" s="316">
        <v>10</v>
      </c>
    </row>
    <row r="10" spans="1:54" ht="15.75" customHeight="1">
      <c r="A10" s="291">
        <v>768</v>
      </c>
      <c r="B10" s="291">
        <v>42766</v>
      </c>
      <c r="C10" s="292" t="s">
        <v>678</v>
      </c>
      <c r="D10" s="293" t="s">
        <v>677</v>
      </c>
      <c r="E10" s="293" t="str">
        <f t="shared" si="0"/>
        <v>G</v>
      </c>
      <c r="F10" s="293" t="s">
        <v>126</v>
      </c>
      <c r="G10" s="294">
        <v>1076</v>
      </c>
      <c r="H10" s="292" t="s">
        <v>97</v>
      </c>
      <c r="I10" s="292" t="s">
        <v>679</v>
      </c>
      <c r="J10" s="293" t="s">
        <v>680</v>
      </c>
      <c r="K10" s="293"/>
      <c r="L10" s="293" t="s">
        <v>401</v>
      </c>
      <c r="M10" s="293" t="s">
        <v>1793</v>
      </c>
      <c r="N10" s="295">
        <v>1609</v>
      </c>
      <c r="O10" s="296" t="s">
        <v>673</v>
      </c>
      <c r="P10" s="295">
        <v>0</v>
      </c>
      <c r="Q10" s="295">
        <v>0</v>
      </c>
      <c r="R10" s="295">
        <v>0</v>
      </c>
      <c r="S10" s="295">
        <v>1730</v>
      </c>
      <c r="T10" s="295">
        <v>1730</v>
      </c>
      <c r="U10" s="295">
        <v>30</v>
      </c>
      <c r="V10" s="295">
        <v>10</v>
      </c>
      <c r="W10" s="295">
        <v>5.5</v>
      </c>
      <c r="X10" s="295">
        <v>5</v>
      </c>
      <c r="Y10" s="295">
        <v>18</v>
      </c>
      <c r="Z10" s="295">
        <v>15</v>
      </c>
      <c r="AA10" s="295">
        <v>0</v>
      </c>
      <c r="AB10" s="295">
        <v>0</v>
      </c>
      <c r="AC10" s="295">
        <v>0</v>
      </c>
      <c r="AD10" s="295">
        <v>0</v>
      </c>
      <c r="AE10" s="295">
        <v>0</v>
      </c>
      <c r="AF10" s="295">
        <v>0</v>
      </c>
      <c r="AG10" s="295">
        <v>0</v>
      </c>
      <c r="AH10" s="295">
        <v>1813.5</v>
      </c>
      <c r="AI10" s="362"/>
      <c r="AJ10" s="196" t="s">
        <v>330</v>
      </c>
      <c r="AK10" s="197">
        <f>AK9/12</f>
        <v>706209.91444169718</v>
      </c>
      <c r="AL10" s="197">
        <f>AL9/12</f>
        <v>699232.7341257584</v>
      </c>
      <c r="AO10" s="308" t="s">
        <v>328</v>
      </c>
      <c r="AP10" s="541"/>
      <c r="AQ10" s="317">
        <v>46173</v>
      </c>
      <c r="AR10" s="317">
        <v>46538</v>
      </c>
      <c r="AS10" s="317">
        <v>46904</v>
      </c>
      <c r="AT10" s="317">
        <v>47269</v>
      </c>
      <c r="AU10" s="317">
        <v>47634</v>
      </c>
      <c r="AV10" s="317">
        <v>47999</v>
      </c>
      <c r="AW10" s="317">
        <v>48365</v>
      </c>
      <c r="AX10" s="317">
        <v>48730</v>
      </c>
      <c r="AY10" s="317">
        <v>49095</v>
      </c>
      <c r="AZ10" s="318">
        <v>49460</v>
      </c>
    </row>
    <row r="11" spans="1:54" ht="15.75" customHeight="1">
      <c r="A11" s="291">
        <v>31930</v>
      </c>
      <c r="B11" s="291">
        <v>42826</v>
      </c>
      <c r="C11" s="292" t="s">
        <v>681</v>
      </c>
      <c r="D11" s="293" t="s">
        <v>677</v>
      </c>
      <c r="E11" s="293" t="str">
        <f t="shared" si="0"/>
        <v>G</v>
      </c>
      <c r="F11" s="293" t="s">
        <v>126</v>
      </c>
      <c r="G11" s="294">
        <v>1076</v>
      </c>
      <c r="H11" s="292" t="s">
        <v>97</v>
      </c>
      <c r="I11" s="292" t="s">
        <v>1794</v>
      </c>
      <c r="J11" s="293" t="s">
        <v>390</v>
      </c>
      <c r="K11" s="293"/>
      <c r="L11" s="293" t="s">
        <v>390</v>
      </c>
      <c r="M11" s="293" t="s">
        <v>1795</v>
      </c>
      <c r="N11" s="295">
        <v>1609</v>
      </c>
      <c r="O11" s="296" t="s">
        <v>673</v>
      </c>
      <c r="P11" s="295">
        <v>0</v>
      </c>
      <c r="Q11" s="295">
        <v>0</v>
      </c>
      <c r="R11" s="295">
        <v>-46.69</v>
      </c>
      <c r="S11" s="295">
        <v>1589</v>
      </c>
      <c r="T11" s="295">
        <v>1589</v>
      </c>
      <c r="U11" s="295">
        <v>30</v>
      </c>
      <c r="V11" s="295">
        <v>10</v>
      </c>
      <c r="W11" s="295">
        <v>5.5</v>
      </c>
      <c r="X11" s="295">
        <v>5</v>
      </c>
      <c r="Y11" s="295">
        <v>18</v>
      </c>
      <c r="Z11" s="295">
        <v>30</v>
      </c>
      <c r="AA11" s="295">
        <v>0</v>
      </c>
      <c r="AB11" s="295">
        <v>0</v>
      </c>
      <c r="AC11" s="295">
        <v>0</v>
      </c>
      <c r="AD11" s="295">
        <v>0</v>
      </c>
      <c r="AE11" s="295">
        <v>0</v>
      </c>
      <c r="AF11" s="295">
        <v>0</v>
      </c>
      <c r="AG11" s="295">
        <v>0</v>
      </c>
      <c r="AH11" s="295">
        <v>1687.5</v>
      </c>
      <c r="AI11" s="362"/>
      <c r="AJ11" s="196" t="s">
        <v>331</v>
      </c>
      <c r="AK11" s="198">
        <v>1</v>
      </c>
      <c r="AL11" s="198">
        <v>1</v>
      </c>
      <c r="AO11" s="309"/>
      <c r="AP11" s="336"/>
      <c r="AQ11" s="319"/>
      <c r="AR11" s="319"/>
      <c r="AS11" s="319"/>
      <c r="AT11" s="319"/>
      <c r="AU11" s="319"/>
      <c r="AV11" s="319"/>
      <c r="AW11" s="319"/>
      <c r="AX11" s="319"/>
      <c r="AY11" s="319"/>
      <c r="AZ11" s="320"/>
    </row>
    <row r="12" spans="1:54" ht="15.75" customHeight="1">
      <c r="A12" s="291">
        <v>31990</v>
      </c>
      <c r="B12" s="291">
        <v>42926</v>
      </c>
      <c r="C12" s="292" t="s">
        <v>683</v>
      </c>
      <c r="D12" s="293" t="s">
        <v>147</v>
      </c>
      <c r="E12" s="293" t="str">
        <f t="shared" si="0"/>
        <v>Q</v>
      </c>
      <c r="F12" s="293" t="s">
        <v>126</v>
      </c>
      <c r="G12" s="294">
        <v>1076</v>
      </c>
      <c r="H12" s="292" t="s">
        <v>97</v>
      </c>
      <c r="I12" s="292" t="s">
        <v>1796</v>
      </c>
      <c r="J12" s="293" t="s">
        <v>398</v>
      </c>
      <c r="K12" s="293"/>
      <c r="L12" s="293" t="s">
        <v>398</v>
      </c>
      <c r="M12" s="293" t="s">
        <v>1797</v>
      </c>
      <c r="N12" s="295">
        <v>1659</v>
      </c>
      <c r="O12" s="296" t="s">
        <v>673</v>
      </c>
      <c r="P12" s="295">
        <v>0</v>
      </c>
      <c r="Q12" s="295">
        <v>0</v>
      </c>
      <c r="R12" s="295">
        <v>0</v>
      </c>
      <c r="S12" s="295">
        <v>1689</v>
      </c>
      <c r="T12" s="295">
        <v>1689</v>
      </c>
      <c r="U12" s="295">
        <v>30</v>
      </c>
      <c r="V12" s="295">
        <v>10</v>
      </c>
      <c r="W12" s="295">
        <v>5.5</v>
      </c>
      <c r="X12" s="295">
        <v>5</v>
      </c>
      <c r="Y12" s="295">
        <v>0</v>
      </c>
      <c r="Z12" s="295">
        <v>30</v>
      </c>
      <c r="AA12" s="295">
        <v>0</v>
      </c>
      <c r="AB12" s="295">
        <v>0</v>
      </c>
      <c r="AC12" s="295">
        <v>0</v>
      </c>
      <c r="AD12" s="295">
        <v>0</v>
      </c>
      <c r="AE12" s="295">
        <v>0</v>
      </c>
      <c r="AF12" s="295">
        <v>0</v>
      </c>
      <c r="AG12" s="295">
        <v>0</v>
      </c>
      <c r="AH12" s="295">
        <v>1769.5</v>
      </c>
      <c r="AI12" s="362"/>
      <c r="AJ12" s="220" t="s">
        <v>1764</v>
      </c>
      <c r="AK12" s="197">
        <f>+AK10/(495*AK11)</f>
        <v>1426.6866958418125</v>
      </c>
      <c r="AL12" s="197">
        <f>+AL10/(495*AL11)</f>
        <v>1412.5913820722392</v>
      </c>
      <c r="AO12" s="310" t="s">
        <v>1728</v>
      </c>
      <c r="AP12" s="337" t="s">
        <v>1762</v>
      </c>
      <c r="AQ12" s="321"/>
      <c r="AR12" s="321"/>
      <c r="AS12" s="321"/>
      <c r="AT12" s="321"/>
      <c r="AU12" s="321"/>
      <c r="AV12" s="321"/>
      <c r="AW12" s="321"/>
      <c r="AX12" s="321"/>
      <c r="AY12" s="321"/>
      <c r="AZ12" s="322"/>
    </row>
    <row r="13" spans="1:54" ht="15.75" customHeight="1">
      <c r="A13" s="291">
        <v>31995</v>
      </c>
      <c r="B13" s="291">
        <v>42933</v>
      </c>
      <c r="C13" s="292" t="s">
        <v>685</v>
      </c>
      <c r="D13" s="293" t="s">
        <v>147</v>
      </c>
      <c r="E13" s="293" t="str">
        <f t="shared" si="0"/>
        <v>Q</v>
      </c>
      <c r="F13" s="293" t="s">
        <v>126</v>
      </c>
      <c r="G13" s="294">
        <v>1076</v>
      </c>
      <c r="H13" s="292" t="s">
        <v>97</v>
      </c>
      <c r="I13" s="292" t="s">
        <v>1798</v>
      </c>
      <c r="J13" s="293" t="s">
        <v>1324</v>
      </c>
      <c r="K13" s="293"/>
      <c r="L13" s="293" t="s">
        <v>1324</v>
      </c>
      <c r="M13" s="293" t="s">
        <v>1799</v>
      </c>
      <c r="N13" s="295">
        <v>1659</v>
      </c>
      <c r="O13" s="296" t="s">
        <v>673</v>
      </c>
      <c r="P13" s="295">
        <v>0</v>
      </c>
      <c r="Q13" s="295">
        <v>0</v>
      </c>
      <c r="R13" s="295">
        <v>0</v>
      </c>
      <c r="S13" s="295">
        <v>1689</v>
      </c>
      <c r="T13" s="295">
        <v>1689</v>
      </c>
      <c r="U13" s="295">
        <v>30</v>
      </c>
      <c r="V13" s="295">
        <v>10</v>
      </c>
      <c r="W13" s="295">
        <v>5.5</v>
      </c>
      <c r="X13" s="295">
        <v>5</v>
      </c>
      <c r="Y13" s="295">
        <v>18</v>
      </c>
      <c r="Z13" s="295">
        <v>0</v>
      </c>
      <c r="AA13" s="295">
        <v>0</v>
      </c>
      <c r="AB13" s="295">
        <v>0</v>
      </c>
      <c r="AC13" s="295">
        <v>0</v>
      </c>
      <c r="AD13" s="295">
        <v>0</v>
      </c>
      <c r="AE13" s="295">
        <v>0</v>
      </c>
      <c r="AF13" s="295">
        <v>0</v>
      </c>
      <c r="AG13" s="295">
        <v>0</v>
      </c>
      <c r="AH13" s="295">
        <v>1757.5</v>
      </c>
      <c r="AI13" s="362"/>
      <c r="AJ13" s="196" t="s">
        <v>332</v>
      </c>
      <c r="AK13" s="276">
        <v>0.41666666666666669</v>
      </c>
      <c r="AL13" s="276">
        <f>1-AK13</f>
        <v>0.58333333333333326</v>
      </c>
      <c r="AO13" s="311" t="s">
        <v>1729</v>
      </c>
      <c r="AP13" s="338">
        <v>8474518.9733003657</v>
      </c>
      <c r="AQ13" s="323">
        <v>8357667.1135183079</v>
      </c>
      <c r="AR13" s="323">
        <v>8579313.5413526371</v>
      </c>
      <c r="AS13" s="323">
        <v>8960894.6900365185</v>
      </c>
      <c r="AT13" s="323">
        <v>9318313.1755838413</v>
      </c>
      <c r="AU13" s="323">
        <v>9674923.8973552715</v>
      </c>
      <c r="AV13" s="323">
        <v>9995970.4752229974</v>
      </c>
      <c r="AW13" s="323">
        <v>10295849.5894797</v>
      </c>
      <c r="AX13" s="323">
        <v>10604725.077164102</v>
      </c>
      <c r="AY13" s="323">
        <v>10922866.829479037</v>
      </c>
      <c r="AZ13" s="324">
        <v>11250552.83436342</v>
      </c>
    </row>
    <row r="14" spans="1:54" ht="13.5" customHeight="1" thickBot="1">
      <c r="A14" s="291">
        <v>31552</v>
      </c>
      <c r="B14" s="291">
        <v>42815</v>
      </c>
      <c r="C14" s="292" t="s">
        <v>686</v>
      </c>
      <c r="D14" s="293" t="s">
        <v>147</v>
      </c>
      <c r="E14" s="293" t="str">
        <f t="shared" si="0"/>
        <v>Q</v>
      </c>
      <c r="F14" s="293" t="s">
        <v>126</v>
      </c>
      <c r="G14" s="294">
        <v>1076</v>
      </c>
      <c r="H14" s="292" t="s">
        <v>97</v>
      </c>
      <c r="I14" s="292" t="s">
        <v>687</v>
      </c>
      <c r="J14" s="293" t="s">
        <v>688</v>
      </c>
      <c r="K14" s="293"/>
      <c r="L14" s="293" t="s">
        <v>1800</v>
      </c>
      <c r="M14" s="293" t="s">
        <v>1801</v>
      </c>
      <c r="N14" s="295">
        <v>1629</v>
      </c>
      <c r="O14" s="296" t="s">
        <v>673</v>
      </c>
      <c r="P14" s="295">
        <v>0</v>
      </c>
      <c r="Q14" s="295">
        <v>0</v>
      </c>
      <c r="R14" s="295">
        <v>0</v>
      </c>
      <c r="S14" s="295">
        <v>1764</v>
      </c>
      <c r="T14" s="295">
        <v>1764</v>
      </c>
      <c r="U14" s="295">
        <v>30</v>
      </c>
      <c r="V14" s="295">
        <v>10</v>
      </c>
      <c r="W14" s="295">
        <v>5.5</v>
      </c>
      <c r="X14" s="295">
        <v>5</v>
      </c>
      <c r="Y14" s="295">
        <v>18</v>
      </c>
      <c r="Z14" s="295">
        <v>15</v>
      </c>
      <c r="AA14" s="295">
        <v>0</v>
      </c>
      <c r="AB14" s="295">
        <v>0</v>
      </c>
      <c r="AC14" s="295">
        <v>0</v>
      </c>
      <c r="AD14" s="295">
        <v>0</v>
      </c>
      <c r="AE14" s="295">
        <v>0</v>
      </c>
      <c r="AF14" s="295">
        <v>0</v>
      </c>
      <c r="AG14" s="295">
        <v>0</v>
      </c>
      <c r="AH14" s="295">
        <v>1847.5</v>
      </c>
      <c r="AI14" s="362"/>
      <c r="AJ14" s="199" t="s">
        <v>333</v>
      </c>
      <c r="AK14" s="199"/>
      <c r="AL14" s="200">
        <f>SUMPRODUCT(AK13:AL13,AK12:AL12)</f>
        <v>1418.4644294762279</v>
      </c>
      <c r="AM14" s="221"/>
      <c r="AO14" s="309" t="s">
        <v>1730</v>
      </c>
      <c r="AP14" s="319">
        <v>0</v>
      </c>
      <c r="AQ14" s="325">
        <v>33125.695990793014</v>
      </c>
      <c r="AR14" s="325">
        <v>-103648.36127556162</v>
      </c>
      <c r="AS14" s="325">
        <v>-153090.97998926486</v>
      </c>
      <c r="AT14" s="325">
        <v>-156337.07673994498</v>
      </c>
      <c r="AU14" s="325">
        <v>-147550.62539172039</v>
      </c>
      <c r="AV14" s="325">
        <v>-121551.91660570315</v>
      </c>
      <c r="AW14" s="325">
        <v>-111673.93320005116</v>
      </c>
      <c r="AX14" s="325">
        <v>-110350.84311989875</v>
      </c>
      <c r="AY14" s="325">
        <v>-108988.06033734261</v>
      </c>
      <c r="AZ14" s="326">
        <v>-107584.39407130814</v>
      </c>
    </row>
    <row r="15" spans="1:54" ht="13.5" customHeight="1">
      <c r="A15" s="291">
        <v>31948</v>
      </c>
      <c r="B15" s="291">
        <v>42909</v>
      </c>
      <c r="C15" s="292" t="s">
        <v>689</v>
      </c>
      <c r="D15" s="293" t="s">
        <v>180</v>
      </c>
      <c r="E15" s="293" t="str">
        <f t="shared" si="0"/>
        <v>Q</v>
      </c>
      <c r="F15" s="293" t="s">
        <v>126</v>
      </c>
      <c r="G15" s="294">
        <v>825</v>
      </c>
      <c r="H15" s="292" t="s">
        <v>97</v>
      </c>
      <c r="I15" s="292" t="s">
        <v>1802</v>
      </c>
      <c r="J15" s="293" t="s">
        <v>408</v>
      </c>
      <c r="K15" s="293"/>
      <c r="L15" s="293" t="s">
        <v>408</v>
      </c>
      <c r="M15" s="293" t="s">
        <v>1803</v>
      </c>
      <c r="N15" s="295">
        <v>1419</v>
      </c>
      <c r="O15" s="296" t="s">
        <v>673</v>
      </c>
      <c r="P15" s="295">
        <v>0</v>
      </c>
      <c r="Q15" s="295">
        <v>0</v>
      </c>
      <c r="R15" s="295">
        <v>0</v>
      </c>
      <c r="S15" s="295">
        <v>1369</v>
      </c>
      <c r="T15" s="295">
        <v>1369</v>
      </c>
      <c r="U15" s="295">
        <v>30</v>
      </c>
      <c r="V15" s="295">
        <v>10</v>
      </c>
      <c r="W15" s="295">
        <v>5.5</v>
      </c>
      <c r="X15" s="295">
        <v>5</v>
      </c>
      <c r="Y15" s="295">
        <v>18</v>
      </c>
      <c r="Z15" s="295">
        <v>15</v>
      </c>
      <c r="AA15" s="295">
        <v>0</v>
      </c>
      <c r="AB15" s="295">
        <v>0</v>
      </c>
      <c r="AC15" s="295">
        <v>0</v>
      </c>
      <c r="AD15" s="295">
        <v>0</v>
      </c>
      <c r="AE15" s="295">
        <v>0</v>
      </c>
      <c r="AF15" s="295">
        <v>0</v>
      </c>
      <c r="AG15" s="295">
        <v>0</v>
      </c>
      <c r="AH15" s="295">
        <v>1452.5</v>
      </c>
      <c r="AI15" s="362"/>
      <c r="AJ15" s="220" t="s">
        <v>347</v>
      </c>
      <c r="AL15" s="345">
        <f>AVERAGEIFS(T7:T501,T7:T501,"&gt;0")</f>
        <v>1403.4335511982572</v>
      </c>
      <c r="AM15" s="339"/>
      <c r="AO15" s="312" t="s">
        <v>1731</v>
      </c>
      <c r="AP15" s="333">
        <v>8474518.9733003657</v>
      </c>
      <c r="AQ15" s="327">
        <v>8390792.8095091004</v>
      </c>
      <c r="AR15" s="327">
        <v>8475665.1800770741</v>
      </c>
      <c r="AS15" s="327">
        <v>8807803.7100472506</v>
      </c>
      <c r="AT15" s="327">
        <v>9161976.0988438968</v>
      </c>
      <c r="AU15" s="327">
        <v>9527373.2719635498</v>
      </c>
      <c r="AV15" s="327">
        <v>9874418.5586172938</v>
      </c>
      <c r="AW15" s="327">
        <v>10184175.65627965</v>
      </c>
      <c r="AX15" s="327">
        <v>10494374.234044204</v>
      </c>
      <c r="AY15" s="327">
        <v>10813878.769141695</v>
      </c>
      <c r="AZ15" s="328">
        <v>11142968.440292113</v>
      </c>
    </row>
    <row r="16" spans="1:54" ht="13.5" customHeight="1">
      <c r="A16" s="291">
        <v>11048</v>
      </c>
      <c r="B16" s="291">
        <v>42717</v>
      </c>
      <c r="C16" s="292" t="s">
        <v>690</v>
      </c>
      <c r="D16" s="293" t="s">
        <v>691</v>
      </c>
      <c r="E16" s="293" t="str">
        <f t="shared" si="0"/>
        <v>G</v>
      </c>
      <c r="F16" s="293" t="s">
        <v>126</v>
      </c>
      <c r="G16" s="294">
        <v>825</v>
      </c>
      <c r="H16" s="292" t="s">
        <v>97</v>
      </c>
      <c r="I16" s="292" t="s">
        <v>692</v>
      </c>
      <c r="J16" s="293" t="s">
        <v>693</v>
      </c>
      <c r="K16" s="293"/>
      <c r="L16" s="293" t="s">
        <v>363</v>
      </c>
      <c r="M16" s="293" t="s">
        <v>694</v>
      </c>
      <c r="N16" s="295">
        <v>1379</v>
      </c>
      <c r="O16" s="296" t="s">
        <v>673</v>
      </c>
      <c r="P16" s="295">
        <v>0</v>
      </c>
      <c r="Q16" s="295">
        <v>0</v>
      </c>
      <c r="R16" s="295">
        <v>-551.91999999999996</v>
      </c>
      <c r="S16" s="295">
        <v>1430</v>
      </c>
      <c r="T16" s="295">
        <v>1430</v>
      </c>
      <c r="U16" s="295">
        <v>30</v>
      </c>
      <c r="V16" s="295">
        <v>10</v>
      </c>
      <c r="W16" s="295">
        <v>5.5</v>
      </c>
      <c r="X16" s="295">
        <v>5</v>
      </c>
      <c r="Y16" s="295">
        <v>18</v>
      </c>
      <c r="Z16" s="295">
        <v>0</v>
      </c>
      <c r="AA16" s="295">
        <v>0</v>
      </c>
      <c r="AB16" s="295">
        <v>0</v>
      </c>
      <c r="AC16" s="295">
        <v>0</v>
      </c>
      <c r="AD16" s="295">
        <v>0</v>
      </c>
      <c r="AE16" s="295">
        <v>0</v>
      </c>
      <c r="AF16" s="295">
        <v>0</v>
      </c>
      <c r="AG16" s="295">
        <v>0</v>
      </c>
      <c r="AH16" s="295">
        <v>1498.5</v>
      </c>
      <c r="AI16" s="362"/>
      <c r="AJ16" s="220" t="s">
        <v>348</v>
      </c>
      <c r="AL16" s="345">
        <f>+AVERAGE(N7:N501)</f>
        <v>1358.6343434343435</v>
      </c>
      <c r="AO16" s="309" t="s">
        <v>1732</v>
      </c>
      <c r="AP16" s="319">
        <v>1242919.25</v>
      </c>
      <c r="AQ16" s="325">
        <v>1220508</v>
      </c>
      <c r="AR16" s="325">
        <v>1503810.2999999998</v>
      </c>
      <c r="AS16" s="325">
        <v>1640643.9075</v>
      </c>
      <c r="AT16" s="325">
        <v>1679333.4565874992</v>
      </c>
      <c r="AU16" s="325">
        <v>1718943.713430187</v>
      </c>
      <c r="AV16" s="325">
        <v>1759496.765102501</v>
      </c>
      <c r="AW16" s="325">
        <v>1801015.2322433554</v>
      </c>
      <c r="AX16" s="325">
        <v>1843522.2820229956</v>
      </c>
      <c r="AY16" s="325">
        <v>1887041.6414265994</v>
      </c>
      <c r="AZ16" s="326">
        <v>1931597.6108623527</v>
      </c>
    </row>
    <row r="17" spans="1:58" ht="13.5" customHeight="1">
      <c r="A17" s="291">
        <v>32066</v>
      </c>
      <c r="B17" s="291">
        <v>43094</v>
      </c>
      <c r="C17" s="292" t="s">
        <v>695</v>
      </c>
      <c r="D17" s="293" t="s">
        <v>691</v>
      </c>
      <c r="E17" s="293" t="str">
        <f t="shared" si="0"/>
        <v>G</v>
      </c>
      <c r="F17" s="293" t="s">
        <v>126</v>
      </c>
      <c r="G17" s="294">
        <v>825</v>
      </c>
      <c r="H17" s="292" t="s">
        <v>97</v>
      </c>
      <c r="I17" s="292" t="s">
        <v>1933</v>
      </c>
      <c r="J17" s="293" t="s">
        <v>1934</v>
      </c>
      <c r="K17" s="293"/>
      <c r="L17" s="293" t="s">
        <v>1934</v>
      </c>
      <c r="M17" s="293" t="s">
        <v>1935</v>
      </c>
      <c r="N17" s="295">
        <v>1379</v>
      </c>
      <c r="O17" s="296" t="s">
        <v>673</v>
      </c>
      <c r="P17" s="295">
        <v>0</v>
      </c>
      <c r="Q17" s="295">
        <v>0</v>
      </c>
      <c r="R17" s="295">
        <v>0</v>
      </c>
      <c r="S17" s="295">
        <v>1309</v>
      </c>
      <c r="T17" s="295">
        <v>1309</v>
      </c>
      <c r="U17" s="295">
        <v>30</v>
      </c>
      <c r="V17" s="295">
        <v>10</v>
      </c>
      <c r="W17" s="295">
        <v>5</v>
      </c>
      <c r="X17" s="295">
        <v>5</v>
      </c>
      <c r="Y17" s="295">
        <v>0</v>
      </c>
      <c r="Z17" s="295">
        <v>15</v>
      </c>
      <c r="AA17" s="295">
        <v>0</v>
      </c>
      <c r="AB17" s="295">
        <v>35</v>
      </c>
      <c r="AC17" s="295">
        <v>0</v>
      </c>
      <c r="AD17" s="295">
        <v>0</v>
      </c>
      <c r="AE17" s="295">
        <v>0</v>
      </c>
      <c r="AF17" s="295">
        <v>0</v>
      </c>
      <c r="AG17" s="295">
        <v>0</v>
      </c>
      <c r="AH17" s="295">
        <v>1409</v>
      </c>
      <c r="AI17" s="362"/>
      <c r="AL17" s="346">
        <f>(AL15/AL14)-1</f>
        <v>-1.0596584563999922E-2</v>
      </c>
      <c r="AM17" s="340"/>
      <c r="AO17" s="312" t="s">
        <v>1733</v>
      </c>
      <c r="AP17" s="333">
        <v>9717438.2233003657</v>
      </c>
      <c r="AQ17" s="327">
        <v>9611300.8095091004</v>
      </c>
      <c r="AR17" s="327">
        <v>9979475.480077073</v>
      </c>
      <c r="AS17" s="327">
        <v>10448447.617547251</v>
      </c>
      <c r="AT17" s="327">
        <v>10841309.555431396</v>
      </c>
      <c r="AU17" s="327">
        <v>11246316.985393737</v>
      </c>
      <c r="AV17" s="327">
        <v>11633915.323719796</v>
      </c>
      <c r="AW17" s="327">
        <v>11985190.888523005</v>
      </c>
      <c r="AX17" s="327">
        <v>12337896.516067199</v>
      </c>
      <c r="AY17" s="327">
        <v>12700920.410568293</v>
      </c>
      <c r="AZ17" s="328">
        <v>13074566.051154464</v>
      </c>
    </row>
    <row r="18" spans="1:58" ht="13.5" customHeight="1">
      <c r="A18" s="291">
        <v>31607</v>
      </c>
      <c r="B18" s="291">
        <v>42856</v>
      </c>
      <c r="C18" s="292" t="s">
        <v>697</v>
      </c>
      <c r="D18" s="293" t="s">
        <v>180</v>
      </c>
      <c r="E18" s="293" t="str">
        <f t="shared" si="0"/>
        <v>Q</v>
      </c>
      <c r="F18" s="293" t="s">
        <v>126</v>
      </c>
      <c r="G18" s="294">
        <v>825</v>
      </c>
      <c r="H18" s="292" t="s">
        <v>97</v>
      </c>
      <c r="I18" s="292" t="s">
        <v>698</v>
      </c>
      <c r="J18" s="293" t="s">
        <v>699</v>
      </c>
      <c r="K18" s="293"/>
      <c r="L18" s="293" t="s">
        <v>1693</v>
      </c>
      <c r="M18" s="293" t="s">
        <v>1804</v>
      </c>
      <c r="N18" s="295">
        <v>1419</v>
      </c>
      <c r="O18" s="296" t="s">
        <v>673</v>
      </c>
      <c r="P18" s="295">
        <v>0</v>
      </c>
      <c r="Q18" s="295">
        <v>0</v>
      </c>
      <c r="R18" s="295">
        <v>0</v>
      </c>
      <c r="S18" s="295">
        <v>1479</v>
      </c>
      <c r="T18" s="295">
        <v>1479</v>
      </c>
      <c r="U18" s="295">
        <v>30</v>
      </c>
      <c r="V18" s="295">
        <v>10</v>
      </c>
      <c r="W18" s="295">
        <v>5.5</v>
      </c>
      <c r="X18" s="295">
        <v>5</v>
      </c>
      <c r="Y18" s="295">
        <v>18</v>
      </c>
      <c r="Z18" s="295">
        <v>0</v>
      </c>
      <c r="AA18" s="295">
        <v>0</v>
      </c>
      <c r="AB18" s="295">
        <v>0</v>
      </c>
      <c r="AC18" s="295">
        <v>0</v>
      </c>
      <c r="AD18" s="295">
        <v>0</v>
      </c>
      <c r="AE18" s="295">
        <v>0</v>
      </c>
      <c r="AF18" s="295">
        <v>0</v>
      </c>
      <c r="AG18" s="295">
        <v>0</v>
      </c>
      <c r="AH18" s="295">
        <v>1547.5</v>
      </c>
      <c r="AI18" s="362"/>
      <c r="AL18" s="346">
        <f>(AL15/AL16)-1</f>
        <v>3.2973704794382552E-2</v>
      </c>
      <c r="AO18" s="311" t="s">
        <v>1734</v>
      </c>
      <c r="AP18" s="338">
        <v>-499996.61942472158</v>
      </c>
      <c r="AQ18" s="323">
        <v>-461493.60452300042</v>
      </c>
      <c r="AR18" s="323">
        <v>-466161.58490423911</v>
      </c>
      <c r="AS18" s="323">
        <v>-484429.20405259886</v>
      </c>
      <c r="AT18" s="323">
        <v>-503908.68543641444</v>
      </c>
      <c r="AU18" s="323">
        <v>-524005.5299579954</v>
      </c>
      <c r="AV18" s="323">
        <v>-543093.02072395117</v>
      </c>
      <c r="AW18" s="323">
        <v>-560129.66109538067</v>
      </c>
      <c r="AX18" s="323">
        <v>-577190.58287243114</v>
      </c>
      <c r="AY18" s="323">
        <v>-594763.33230279316</v>
      </c>
      <c r="AZ18" s="324">
        <v>-612863.26421606611</v>
      </c>
    </row>
    <row r="19" spans="1:58" ht="13.5" customHeight="1">
      <c r="A19" s="291">
        <v>11370</v>
      </c>
      <c r="B19" s="291">
        <v>43152</v>
      </c>
      <c r="C19" s="292" t="s">
        <v>700</v>
      </c>
      <c r="D19" s="293" t="s">
        <v>180</v>
      </c>
      <c r="E19" s="293" t="str">
        <f t="shared" si="0"/>
        <v>Q</v>
      </c>
      <c r="F19" s="293" t="s">
        <v>126</v>
      </c>
      <c r="G19" s="294">
        <v>825</v>
      </c>
      <c r="H19" s="292" t="s">
        <v>97</v>
      </c>
      <c r="I19" s="292" t="s">
        <v>701</v>
      </c>
      <c r="J19" s="293" t="s">
        <v>360</v>
      </c>
      <c r="K19" s="293"/>
      <c r="L19" s="293" t="s">
        <v>2020</v>
      </c>
      <c r="M19" s="293" t="s">
        <v>2019</v>
      </c>
      <c r="N19" s="295">
        <v>1419</v>
      </c>
      <c r="O19" s="296" t="s">
        <v>673</v>
      </c>
      <c r="P19" s="295">
        <v>0</v>
      </c>
      <c r="Q19" s="295">
        <v>0</v>
      </c>
      <c r="R19" s="295">
        <v>0</v>
      </c>
      <c r="S19" s="295">
        <v>1379</v>
      </c>
      <c r="T19" s="295">
        <v>1379</v>
      </c>
      <c r="U19" s="295">
        <v>30</v>
      </c>
      <c r="V19" s="295">
        <v>10</v>
      </c>
      <c r="W19" s="295">
        <v>5.5</v>
      </c>
      <c r="X19" s="295">
        <v>5</v>
      </c>
      <c r="Y19" s="295">
        <v>0</v>
      </c>
      <c r="Z19" s="295">
        <v>15</v>
      </c>
      <c r="AA19" s="295">
        <v>0</v>
      </c>
      <c r="AB19" s="295">
        <v>0</v>
      </c>
      <c r="AC19" s="295">
        <v>0</v>
      </c>
      <c r="AD19" s="295">
        <v>0</v>
      </c>
      <c r="AE19" s="295">
        <v>0</v>
      </c>
      <c r="AF19" s="295">
        <v>0</v>
      </c>
      <c r="AG19" s="295">
        <v>0</v>
      </c>
      <c r="AH19" s="295">
        <v>1444.5</v>
      </c>
      <c r="AI19" s="362"/>
      <c r="AO19" s="311" t="s">
        <v>1735</v>
      </c>
      <c r="AP19" s="338">
        <v>-114839.30999999998</v>
      </c>
      <c r="AQ19" s="323">
        <v>-125861.8921426365</v>
      </c>
      <c r="AR19" s="323">
        <v>-105945.81475096343</v>
      </c>
      <c r="AS19" s="323">
        <v>-88078.037100472517</v>
      </c>
      <c r="AT19" s="323">
        <v>-91619.760988438953</v>
      </c>
      <c r="AU19" s="323">
        <v>-95273.732719635518</v>
      </c>
      <c r="AV19" s="323">
        <v>-98744.185586172971</v>
      </c>
      <c r="AW19" s="323">
        <v>-101841.75656279649</v>
      </c>
      <c r="AX19" s="323">
        <v>-104943.74234044204</v>
      </c>
      <c r="AY19" s="323">
        <v>-108138.78769141693</v>
      </c>
      <c r="AZ19" s="324">
        <v>-111429.68440292111</v>
      </c>
    </row>
    <row r="20" spans="1:58" ht="13.5" customHeight="1">
      <c r="A20" s="291">
        <v>32055</v>
      </c>
      <c r="B20" s="291">
        <v>43069</v>
      </c>
      <c r="C20" s="292" t="s">
        <v>702</v>
      </c>
      <c r="D20" s="293" t="s">
        <v>171</v>
      </c>
      <c r="E20" s="293" t="str">
        <f t="shared" si="0"/>
        <v>F</v>
      </c>
      <c r="F20" s="293" t="s">
        <v>126</v>
      </c>
      <c r="G20" s="294">
        <v>825</v>
      </c>
      <c r="H20" s="292" t="s">
        <v>97</v>
      </c>
      <c r="I20" s="292" t="s">
        <v>1936</v>
      </c>
      <c r="J20" s="293" t="s">
        <v>418</v>
      </c>
      <c r="K20" s="293"/>
      <c r="L20" s="293" t="s">
        <v>418</v>
      </c>
      <c r="M20" s="293" t="s">
        <v>1937</v>
      </c>
      <c r="N20" s="295">
        <v>1309</v>
      </c>
      <c r="O20" s="296" t="s">
        <v>673</v>
      </c>
      <c r="P20" s="295">
        <v>0</v>
      </c>
      <c r="Q20" s="295">
        <v>0</v>
      </c>
      <c r="R20" s="295">
        <v>0</v>
      </c>
      <c r="S20" s="295">
        <v>1089</v>
      </c>
      <c r="T20" s="295">
        <v>1089</v>
      </c>
      <c r="U20" s="295">
        <v>30</v>
      </c>
      <c r="V20" s="295">
        <v>10</v>
      </c>
      <c r="W20" s="295">
        <v>5.5</v>
      </c>
      <c r="X20" s="295">
        <v>5</v>
      </c>
      <c r="Y20" s="295">
        <v>18</v>
      </c>
      <c r="Z20" s="295">
        <v>0</v>
      </c>
      <c r="AA20" s="295">
        <v>0</v>
      </c>
      <c r="AB20" s="295">
        <v>0</v>
      </c>
      <c r="AC20" s="295">
        <v>0</v>
      </c>
      <c r="AD20" s="295">
        <v>0</v>
      </c>
      <c r="AE20" s="295">
        <v>0</v>
      </c>
      <c r="AF20" s="295">
        <v>0</v>
      </c>
      <c r="AG20" s="295">
        <v>0</v>
      </c>
      <c r="AH20" s="295">
        <v>1157.5</v>
      </c>
      <c r="AI20" s="362"/>
      <c r="AO20" s="311" t="s">
        <v>1736</v>
      </c>
      <c r="AP20" s="338">
        <v>0</v>
      </c>
      <c r="AQ20" s="323">
        <v>0</v>
      </c>
      <c r="AR20" s="323">
        <v>0</v>
      </c>
      <c r="AS20" s="323">
        <v>0</v>
      </c>
      <c r="AT20" s="323">
        <v>0</v>
      </c>
      <c r="AU20" s="323">
        <v>0</v>
      </c>
      <c r="AV20" s="323">
        <v>0</v>
      </c>
      <c r="AW20" s="323">
        <v>0</v>
      </c>
      <c r="AX20" s="323">
        <v>0</v>
      </c>
      <c r="AY20" s="323">
        <v>0</v>
      </c>
      <c r="AZ20" s="324">
        <v>0</v>
      </c>
    </row>
    <row r="21" spans="1:58" ht="13.5" customHeight="1">
      <c r="A21" s="291">
        <v>58</v>
      </c>
      <c r="B21" s="291">
        <v>42648</v>
      </c>
      <c r="C21" s="292" t="s">
        <v>703</v>
      </c>
      <c r="D21" s="293" t="s">
        <v>171</v>
      </c>
      <c r="E21" s="293" t="str">
        <f t="shared" si="0"/>
        <v>F</v>
      </c>
      <c r="F21" s="293" t="s">
        <v>126</v>
      </c>
      <c r="G21" s="294">
        <v>825</v>
      </c>
      <c r="H21" s="292" t="s">
        <v>142</v>
      </c>
      <c r="I21" s="292" t="s">
        <v>704</v>
      </c>
      <c r="J21" s="293" t="s">
        <v>705</v>
      </c>
      <c r="K21" s="293" t="s">
        <v>466</v>
      </c>
      <c r="L21" s="293" t="s">
        <v>706</v>
      </c>
      <c r="M21" s="293" t="s">
        <v>707</v>
      </c>
      <c r="N21" s="295">
        <v>1309</v>
      </c>
      <c r="O21" s="296" t="s">
        <v>673</v>
      </c>
      <c r="P21" s="295">
        <v>0</v>
      </c>
      <c r="Q21" s="295">
        <v>250</v>
      </c>
      <c r="R21" s="295">
        <v>-391</v>
      </c>
      <c r="S21" s="295">
        <v>1379</v>
      </c>
      <c r="T21" s="295">
        <v>1379</v>
      </c>
      <c r="U21" s="295">
        <v>30</v>
      </c>
      <c r="V21" s="295">
        <v>10</v>
      </c>
      <c r="W21" s="295">
        <v>5.5</v>
      </c>
      <c r="X21" s="295">
        <v>5</v>
      </c>
      <c r="Y21" s="295">
        <v>18</v>
      </c>
      <c r="Z21" s="295">
        <v>0</v>
      </c>
      <c r="AA21" s="295">
        <v>0</v>
      </c>
      <c r="AB21" s="295">
        <v>70</v>
      </c>
      <c r="AC21" s="295">
        <v>0</v>
      </c>
      <c r="AD21" s="295">
        <v>0</v>
      </c>
      <c r="AE21" s="295">
        <v>0</v>
      </c>
      <c r="AF21" s="295">
        <v>0</v>
      </c>
      <c r="AG21" s="295">
        <v>0</v>
      </c>
      <c r="AH21" s="295">
        <v>1517.5</v>
      </c>
      <c r="AI21" s="362"/>
      <c r="AJ21" s="254"/>
      <c r="AK21" s="254"/>
      <c r="AL21" s="254"/>
      <c r="AM21" s="254"/>
      <c r="AN21" s="254"/>
      <c r="AO21" s="311" t="s">
        <v>1737</v>
      </c>
      <c r="AP21" s="338">
        <v>-117055.64</v>
      </c>
      <c r="AQ21" s="323">
        <v>-47462.588307089893</v>
      </c>
      <c r="AR21" s="323">
        <v>-36695.347990712704</v>
      </c>
      <c r="AS21" s="323">
        <v>-2996.4319397015988</v>
      </c>
      <c r="AT21" s="323">
        <v>0</v>
      </c>
      <c r="AU21" s="323">
        <v>0</v>
      </c>
      <c r="AV21" s="323">
        <v>0</v>
      </c>
      <c r="AW21" s="323">
        <v>0</v>
      </c>
      <c r="AX21" s="323">
        <v>0</v>
      </c>
      <c r="AY21" s="323">
        <v>0</v>
      </c>
      <c r="AZ21" s="324">
        <v>0</v>
      </c>
      <c r="BA21" s="254"/>
      <c r="BB21" s="254"/>
      <c r="BC21" s="254"/>
      <c r="BD21" s="254"/>
      <c r="BE21" s="254"/>
    </row>
    <row r="22" spans="1:58" ht="13.5" customHeight="1">
      <c r="A22" s="291">
        <v>31967</v>
      </c>
      <c r="B22" s="291">
        <v>42895</v>
      </c>
      <c r="C22" s="292" t="s">
        <v>708</v>
      </c>
      <c r="D22" s="293" t="s">
        <v>180</v>
      </c>
      <c r="E22" s="293" t="str">
        <f t="shared" si="0"/>
        <v>Q</v>
      </c>
      <c r="F22" s="293" t="s">
        <v>126</v>
      </c>
      <c r="G22" s="294">
        <v>825</v>
      </c>
      <c r="H22" s="292" t="s">
        <v>97</v>
      </c>
      <c r="I22" s="292" t="s">
        <v>1805</v>
      </c>
      <c r="J22" s="293" t="s">
        <v>422</v>
      </c>
      <c r="K22" s="293"/>
      <c r="L22" s="293" t="s">
        <v>422</v>
      </c>
      <c r="M22" s="293" t="s">
        <v>1806</v>
      </c>
      <c r="N22" s="295">
        <v>1419</v>
      </c>
      <c r="O22" s="296" t="s">
        <v>673</v>
      </c>
      <c r="P22" s="295">
        <v>0</v>
      </c>
      <c r="Q22" s="295">
        <v>0</v>
      </c>
      <c r="R22" s="295">
        <v>0</v>
      </c>
      <c r="S22" s="295">
        <v>1319</v>
      </c>
      <c r="T22" s="295">
        <v>1319</v>
      </c>
      <c r="U22" s="295">
        <v>30</v>
      </c>
      <c r="V22" s="295">
        <v>10</v>
      </c>
      <c r="W22" s="295">
        <v>5.5</v>
      </c>
      <c r="X22" s="295">
        <v>5</v>
      </c>
      <c r="Y22" s="295">
        <v>18</v>
      </c>
      <c r="Z22" s="295">
        <v>0</v>
      </c>
      <c r="AA22" s="295">
        <v>0</v>
      </c>
      <c r="AB22" s="295">
        <v>0</v>
      </c>
      <c r="AC22" s="295">
        <v>0</v>
      </c>
      <c r="AD22" s="295">
        <v>0</v>
      </c>
      <c r="AE22" s="295">
        <v>0</v>
      </c>
      <c r="AF22" s="295">
        <v>0</v>
      </c>
      <c r="AG22" s="295">
        <v>0</v>
      </c>
      <c r="AH22" s="295">
        <v>1387.5</v>
      </c>
      <c r="AI22" s="362"/>
      <c r="AJ22" s="279" t="s">
        <v>1917</v>
      </c>
      <c r="AO22" s="309" t="s">
        <v>1738</v>
      </c>
      <c r="AP22" s="319"/>
      <c r="AQ22" s="325">
        <v>-349333.62081105157</v>
      </c>
      <c r="AR22" s="325">
        <v>-177978.0372336721</v>
      </c>
      <c r="AS22" s="325">
        <v>-94639.172017166522</v>
      </c>
      <c r="AT22" s="325">
        <v>0</v>
      </c>
      <c r="AU22" s="325">
        <v>0</v>
      </c>
      <c r="AV22" s="325">
        <v>0</v>
      </c>
      <c r="AW22" s="325">
        <v>0</v>
      </c>
      <c r="AX22" s="325">
        <v>0</v>
      </c>
      <c r="AY22" s="325">
        <v>0</v>
      </c>
      <c r="AZ22" s="326">
        <v>0</v>
      </c>
      <c r="BC22" s="220"/>
    </row>
    <row r="23" spans="1:58" ht="13.5" customHeight="1">
      <c r="A23" s="291">
        <v>31935</v>
      </c>
      <c r="B23" s="291">
        <v>42834</v>
      </c>
      <c r="C23" s="292" t="s">
        <v>709</v>
      </c>
      <c r="D23" s="293" t="s">
        <v>279</v>
      </c>
      <c r="E23" s="293" t="str">
        <f t="shared" si="0"/>
        <v>G</v>
      </c>
      <c r="F23" s="293" t="s">
        <v>126</v>
      </c>
      <c r="G23" s="294">
        <v>600</v>
      </c>
      <c r="H23" s="292" t="s">
        <v>97</v>
      </c>
      <c r="I23" s="292" t="s">
        <v>1807</v>
      </c>
      <c r="J23" s="293" t="s">
        <v>945</v>
      </c>
      <c r="K23" s="293"/>
      <c r="L23" s="293" t="s">
        <v>945</v>
      </c>
      <c r="M23" s="293" t="s">
        <v>1808</v>
      </c>
      <c r="N23" s="295">
        <v>1269</v>
      </c>
      <c r="O23" s="296" t="s">
        <v>673</v>
      </c>
      <c r="P23" s="295">
        <v>0</v>
      </c>
      <c r="Q23" s="295">
        <v>0</v>
      </c>
      <c r="R23" s="295">
        <v>0</v>
      </c>
      <c r="S23" s="295">
        <v>1219</v>
      </c>
      <c r="T23" s="295">
        <v>1219</v>
      </c>
      <c r="U23" s="295">
        <v>30</v>
      </c>
      <c r="V23" s="295">
        <v>10</v>
      </c>
      <c r="W23" s="295">
        <v>5.5</v>
      </c>
      <c r="X23" s="295">
        <v>5</v>
      </c>
      <c r="Y23" s="295">
        <v>18</v>
      </c>
      <c r="Z23" s="295">
        <v>15</v>
      </c>
      <c r="AA23" s="295">
        <v>0</v>
      </c>
      <c r="AB23" s="295">
        <v>0</v>
      </c>
      <c r="AC23" s="295">
        <v>0</v>
      </c>
      <c r="AD23" s="295">
        <v>0</v>
      </c>
      <c r="AE23" s="295">
        <v>0</v>
      </c>
      <c r="AF23" s="295">
        <v>0</v>
      </c>
      <c r="AG23" s="295">
        <v>0</v>
      </c>
      <c r="AH23" s="295">
        <v>1302.5</v>
      </c>
      <c r="AI23" s="362"/>
      <c r="AJ23" s="220" t="s">
        <v>1929</v>
      </c>
      <c r="AK23" s="358">
        <v>0</v>
      </c>
      <c r="AL23" s="273"/>
      <c r="AM23" s="273"/>
      <c r="AN23" s="273"/>
      <c r="AO23" s="312" t="s">
        <v>1739</v>
      </c>
      <c r="AP23" s="333">
        <v>8985546.6538756434</v>
      </c>
      <c r="AQ23" s="327">
        <v>8627149.1037253216</v>
      </c>
      <c r="AR23" s="327">
        <v>9192694.6951974854</v>
      </c>
      <c r="AS23" s="327">
        <v>9778304.7724373098</v>
      </c>
      <c r="AT23" s="327">
        <v>10245781.109006543</v>
      </c>
      <c r="AU23" s="327">
        <v>10627037.722716106</v>
      </c>
      <c r="AV23" s="327">
        <v>10992078.117409671</v>
      </c>
      <c r="AW23" s="327">
        <v>11323219.470864827</v>
      </c>
      <c r="AX23" s="327">
        <v>11655762.190854326</v>
      </c>
      <c r="AY23" s="327">
        <v>11998018.290574083</v>
      </c>
      <c r="AZ23" s="328">
        <v>12350273.102535479</v>
      </c>
      <c r="BA23" s="273"/>
      <c r="BB23" s="273"/>
      <c r="BC23" s="273"/>
      <c r="BD23" s="273"/>
      <c r="BE23" s="273"/>
      <c r="BF23" s="273"/>
    </row>
    <row r="24" spans="1:58" ht="13.5" customHeight="1">
      <c r="A24" s="291">
        <v>31749</v>
      </c>
      <c r="B24" s="291">
        <v>43029</v>
      </c>
      <c r="C24" s="292" t="s">
        <v>710</v>
      </c>
      <c r="D24" s="293" t="s">
        <v>129</v>
      </c>
      <c r="E24" s="293" t="str">
        <f t="shared" si="0"/>
        <v>F</v>
      </c>
      <c r="F24" s="293" t="s">
        <v>126</v>
      </c>
      <c r="G24" s="294">
        <v>600</v>
      </c>
      <c r="H24" s="292" t="s">
        <v>97</v>
      </c>
      <c r="I24" s="292" t="s">
        <v>711</v>
      </c>
      <c r="J24" s="293" t="s">
        <v>712</v>
      </c>
      <c r="K24" s="293"/>
      <c r="L24" s="293" t="s">
        <v>1938</v>
      </c>
      <c r="M24" s="293" t="s">
        <v>1939</v>
      </c>
      <c r="N24" s="295">
        <v>1199</v>
      </c>
      <c r="O24" s="296" t="s">
        <v>673</v>
      </c>
      <c r="P24" s="295">
        <v>0</v>
      </c>
      <c r="Q24" s="295">
        <v>0</v>
      </c>
      <c r="R24" s="295">
        <v>-1448.59</v>
      </c>
      <c r="S24" s="295">
        <v>1228</v>
      </c>
      <c r="T24" s="295">
        <v>1228</v>
      </c>
      <c r="U24" s="295">
        <v>30</v>
      </c>
      <c r="V24" s="295">
        <v>10</v>
      </c>
      <c r="W24" s="295">
        <v>5.5</v>
      </c>
      <c r="X24" s="295">
        <v>5</v>
      </c>
      <c r="Y24" s="295">
        <v>18</v>
      </c>
      <c r="Z24" s="295">
        <v>15</v>
      </c>
      <c r="AA24" s="295">
        <v>0</v>
      </c>
      <c r="AB24" s="295">
        <v>0</v>
      </c>
      <c r="AC24" s="295">
        <v>0</v>
      </c>
      <c r="AD24" s="295">
        <v>0</v>
      </c>
      <c r="AE24" s="295">
        <v>0</v>
      </c>
      <c r="AF24" s="295">
        <v>0</v>
      </c>
      <c r="AG24" s="295">
        <v>0</v>
      </c>
      <c r="AH24" s="295">
        <v>1311.5</v>
      </c>
      <c r="AI24" s="362"/>
      <c r="AJ24" s="220" t="s">
        <v>1930</v>
      </c>
      <c r="AK24" s="358">
        <v>0</v>
      </c>
      <c r="AO24" s="309"/>
      <c r="AP24" s="319"/>
      <c r="AQ24" s="319"/>
      <c r="AR24" s="319"/>
      <c r="AS24" s="319"/>
      <c r="AT24" s="319"/>
      <c r="AU24" s="319"/>
      <c r="AV24" s="319"/>
      <c r="AW24" s="319"/>
      <c r="AX24" s="319"/>
      <c r="AY24" s="319"/>
      <c r="AZ24" s="320"/>
    </row>
    <row r="25" spans="1:58" ht="13.5" thickBot="1">
      <c r="A25" s="291">
        <v>31896</v>
      </c>
      <c r="B25" s="291">
        <v>42749</v>
      </c>
      <c r="C25" s="292" t="s">
        <v>713</v>
      </c>
      <c r="D25" s="293" t="s">
        <v>129</v>
      </c>
      <c r="E25" s="293" t="str">
        <f t="shared" si="0"/>
        <v>F</v>
      </c>
      <c r="F25" s="293" t="s">
        <v>126</v>
      </c>
      <c r="G25" s="294">
        <v>600</v>
      </c>
      <c r="H25" s="292" t="s">
        <v>97</v>
      </c>
      <c r="I25" s="292" t="s">
        <v>1809</v>
      </c>
      <c r="J25" s="293" t="s">
        <v>409</v>
      </c>
      <c r="K25" s="293"/>
      <c r="L25" s="293" t="s">
        <v>409</v>
      </c>
      <c r="M25" s="293" t="s">
        <v>1810</v>
      </c>
      <c r="N25" s="295">
        <v>1169</v>
      </c>
      <c r="O25" s="296" t="s">
        <v>673</v>
      </c>
      <c r="P25" s="295">
        <v>0</v>
      </c>
      <c r="Q25" s="295">
        <v>0</v>
      </c>
      <c r="R25" s="295">
        <v>0</v>
      </c>
      <c r="S25" s="295">
        <v>1229</v>
      </c>
      <c r="T25" s="295">
        <v>1229</v>
      </c>
      <c r="U25" s="295">
        <v>30</v>
      </c>
      <c r="V25" s="295">
        <v>10</v>
      </c>
      <c r="W25" s="295">
        <v>5.5</v>
      </c>
      <c r="X25" s="295">
        <v>5</v>
      </c>
      <c r="Y25" s="295">
        <v>18</v>
      </c>
      <c r="Z25" s="295">
        <v>0</v>
      </c>
      <c r="AA25" s="295">
        <v>0</v>
      </c>
      <c r="AB25" s="295">
        <v>0</v>
      </c>
      <c r="AC25" s="295">
        <v>0</v>
      </c>
      <c r="AD25" s="295">
        <v>0</v>
      </c>
      <c r="AE25" s="295">
        <v>0</v>
      </c>
      <c r="AF25" s="295">
        <v>0</v>
      </c>
      <c r="AG25" s="295">
        <v>0</v>
      </c>
      <c r="AH25" s="295">
        <v>1297.5</v>
      </c>
      <c r="AI25" s="362"/>
      <c r="AJ25" s="359" t="s">
        <v>1931</v>
      </c>
      <c r="AK25" s="360">
        <v>0</v>
      </c>
      <c r="AO25" s="310" t="s">
        <v>1740</v>
      </c>
      <c r="AP25" s="337" t="s">
        <v>1762</v>
      </c>
      <c r="AQ25" s="321"/>
      <c r="AR25" s="321"/>
      <c r="AS25" s="321"/>
      <c r="AT25" s="321"/>
      <c r="AU25" s="321"/>
      <c r="AV25" s="321"/>
      <c r="AW25" s="321"/>
      <c r="AX25" s="321"/>
      <c r="AY25" s="321"/>
      <c r="AZ25" s="322"/>
    </row>
    <row r="26" spans="1:58" ht="13.5" customHeight="1">
      <c r="A26" s="291">
        <v>31834</v>
      </c>
      <c r="B26" s="291">
        <v>43211</v>
      </c>
      <c r="C26" s="292" t="s">
        <v>714</v>
      </c>
      <c r="D26" s="293" t="s">
        <v>139</v>
      </c>
      <c r="E26" s="293" t="str">
        <f t="shared" si="0"/>
        <v>Q</v>
      </c>
      <c r="F26" s="293" t="s">
        <v>126</v>
      </c>
      <c r="G26" s="294">
        <v>600</v>
      </c>
      <c r="H26" s="292" t="s">
        <v>97</v>
      </c>
      <c r="I26" s="292" t="s">
        <v>715</v>
      </c>
      <c r="J26" s="293" t="s">
        <v>716</v>
      </c>
      <c r="K26" s="293"/>
      <c r="L26" s="293" t="s">
        <v>2080</v>
      </c>
      <c r="M26" s="293" t="s">
        <v>2081</v>
      </c>
      <c r="N26" s="295">
        <v>1309</v>
      </c>
      <c r="O26" s="296" t="s">
        <v>673</v>
      </c>
      <c r="P26" s="295">
        <v>0</v>
      </c>
      <c r="Q26" s="295">
        <v>0</v>
      </c>
      <c r="R26" s="295">
        <v>0</v>
      </c>
      <c r="S26" s="295">
        <v>1299</v>
      </c>
      <c r="T26" s="295">
        <v>1299</v>
      </c>
      <c r="U26" s="295">
        <v>30</v>
      </c>
      <c r="V26" s="295">
        <v>10</v>
      </c>
      <c r="W26" s="295">
        <v>5.5</v>
      </c>
      <c r="X26" s="295">
        <v>5</v>
      </c>
      <c r="Y26" s="295">
        <v>18</v>
      </c>
      <c r="Z26" s="295">
        <v>0</v>
      </c>
      <c r="AA26" s="295">
        <v>0</v>
      </c>
      <c r="AB26" s="295">
        <v>35</v>
      </c>
      <c r="AC26" s="295">
        <v>0</v>
      </c>
      <c r="AD26" s="295">
        <v>0</v>
      </c>
      <c r="AE26" s="295">
        <v>0</v>
      </c>
      <c r="AF26" s="295">
        <v>0</v>
      </c>
      <c r="AG26" s="295">
        <v>0</v>
      </c>
      <c r="AH26" s="295">
        <v>1402.5</v>
      </c>
      <c r="AI26" s="362"/>
      <c r="AJ26" s="220" t="s">
        <v>540</v>
      </c>
      <c r="AK26" s="278">
        <f>+SUM(AK23:AK25)</f>
        <v>0</v>
      </c>
      <c r="AO26" s="311" t="s">
        <v>1745</v>
      </c>
      <c r="AP26" s="338">
        <v>574480.84</v>
      </c>
      <c r="AQ26" s="323">
        <v>569345.6</v>
      </c>
      <c r="AR26" s="323">
        <v>586425.96799999999</v>
      </c>
      <c r="AS26" s="323">
        <v>604018.74703999993</v>
      </c>
      <c r="AT26" s="323">
        <v>622139.30945119995</v>
      </c>
      <c r="AU26" s="323">
        <v>640803.48873473611</v>
      </c>
      <c r="AV26" s="323">
        <v>660027.59339677787</v>
      </c>
      <c r="AW26" s="323">
        <v>679828.42119868146</v>
      </c>
      <c r="AX26" s="323">
        <v>700223.27383464167</v>
      </c>
      <c r="AY26" s="323">
        <v>721229.972049681</v>
      </c>
      <c r="AZ26" s="324">
        <v>742866.87121117162</v>
      </c>
    </row>
    <row r="27" spans="1:58" ht="13.5" customHeight="1">
      <c r="A27" s="291">
        <v>83</v>
      </c>
      <c r="B27" s="291">
        <v>42828</v>
      </c>
      <c r="C27" s="292" t="s">
        <v>718</v>
      </c>
      <c r="D27" s="293" t="s">
        <v>133</v>
      </c>
      <c r="E27" s="293" t="str">
        <f t="shared" si="0"/>
        <v>1</v>
      </c>
      <c r="F27" s="293" t="s">
        <v>126</v>
      </c>
      <c r="G27" s="294">
        <v>600</v>
      </c>
      <c r="H27" s="292" t="s">
        <v>97</v>
      </c>
      <c r="I27" s="292" t="s">
        <v>719</v>
      </c>
      <c r="J27" s="293" t="s">
        <v>720</v>
      </c>
      <c r="K27" s="293"/>
      <c r="L27" s="293" t="s">
        <v>684</v>
      </c>
      <c r="M27" s="293" t="s">
        <v>1811</v>
      </c>
      <c r="N27" s="295">
        <v>1299</v>
      </c>
      <c r="O27" s="296" t="s">
        <v>673</v>
      </c>
      <c r="P27" s="295">
        <v>0</v>
      </c>
      <c r="Q27" s="295">
        <v>0</v>
      </c>
      <c r="R27" s="295">
        <v>-1431.44</v>
      </c>
      <c r="S27" s="295">
        <v>1326</v>
      </c>
      <c r="T27" s="295">
        <v>1326</v>
      </c>
      <c r="U27" s="295">
        <v>30</v>
      </c>
      <c r="V27" s="295">
        <v>10</v>
      </c>
      <c r="W27" s="295">
        <v>5.5</v>
      </c>
      <c r="X27" s="295">
        <v>5</v>
      </c>
      <c r="Y27" s="295">
        <v>18</v>
      </c>
      <c r="Z27" s="295">
        <v>0</v>
      </c>
      <c r="AA27" s="295">
        <v>0</v>
      </c>
      <c r="AB27" s="295">
        <v>0</v>
      </c>
      <c r="AC27" s="295">
        <v>0</v>
      </c>
      <c r="AD27" s="295">
        <v>0</v>
      </c>
      <c r="AE27" s="295">
        <v>0</v>
      </c>
      <c r="AF27" s="295">
        <v>0</v>
      </c>
      <c r="AG27" s="295">
        <v>0</v>
      </c>
      <c r="AH27" s="295">
        <v>1394.5</v>
      </c>
      <c r="AI27" s="362"/>
      <c r="AJ27" s="220" t="s">
        <v>541</v>
      </c>
      <c r="AK27" s="278">
        <f>+AK26*4</f>
        <v>0</v>
      </c>
      <c r="AO27" s="311" t="s">
        <v>1746</v>
      </c>
      <c r="AP27" s="338">
        <v>10605.92</v>
      </c>
      <c r="AQ27" s="323">
        <v>10924.097600000001</v>
      </c>
      <c r="AR27" s="323">
        <v>11251.820528000002</v>
      </c>
      <c r="AS27" s="323">
        <v>11589.375143840005</v>
      </c>
      <c r="AT27" s="323">
        <v>11937.056398155204</v>
      </c>
      <c r="AU27" s="323">
        <v>12295.168090099854</v>
      </c>
      <c r="AV27" s="323">
        <v>12664.023132802853</v>
      </c>
      <c r="AW27" s="323">
        <v>13043.943826786939</v>
      </c>
      <c r="AX27" s="323">
        <v>13435.262141590551</v>
      </c>
      <c r="AY27" s="323">
        <v>13838.32000583827</v>
      </c>
      <c r="AZ27" s="324">
        <v>14253.469606013414</v>
      </c>
    </row>
    <row r="28" spans="1:58" ht="13.5" customHeight="1">
      <c r="A28" s="291">
        <v>31660</v>
      </c>
      <c r="B28" s="291">
        <v>42989</v>
      </c>
      <c r="C28" s="292" t="s">
        <v>721</v>
      </c>
      <c r="D28" s="293" t="s">
        <v>129</v>
      </c>
      <c r="E28" s="293" t="str">
        <f t="shared" si="0"/>
        <v>F</v>
      </c>
      <c r="F28" s="293" t="s">
        <v>126</v>
      </c>
      <c r="G28" s="294">
        <v>600</v>
      </c>
      <c r="H28" s="292" t="s">
        <v>97</v>
      </c>
      <c r="I28" s="292" t="s">
        <v>722</v>
      </c>
      <c r="J28" s="293" t="s">
        <v>356</v>
      </c>
      <c r="K28" s="293"/>
      <c r="L28" s="293" t="s">
        <v>1940</v>
      </c>
      <c r="M28" s="293" t="s">
        <v>1941</v>
      </c>
      <c r="N28" s="295">
        <v>1169</v>
      </c>
      <c r="O28" s="296" t="s">
        <v>673</v>
      </c>
      <c r="P28" s="295">
        <v>0</v>
      </c>
      <c r="Q28" s="295">
        <v>0</v>
      </c>
      <c r="R28" s="295">
        <v>0</v>
      </c>
      <c r="S28" s="295">
        <v>1199</v>
      </c>
      <c r="T28" s="295">
        <v>1199</v>
      </c>
      <c r="U28" s="295">
        <v>30</v>
      </c>
      <c r="V28" s="295">
        <v>10</v>
      </c>
      <c r="W28" s="295">
        <v>5.5</v>
      </c>
      <c r="X28" s="295">
        <v>5</v>
      </c>
      <c r="Y28" s="295">
        <v>18</v>
      </c>
      <c r="Z28" s="295">
        <v>0</v>
      </c>
      <c r="AA28" s="295">
        <v>0</v>
      </c>
      <c r="AB28" s="295">
        <v>0</v>
      </c>
      <c r="AC28" s="295">
        <v>0</v>
      </c>
      <c r="AD28" s="295">
        <v>0</v>
      </c>
      <c r="AE28" s="295">
        <v>0</v>
      </c>
      <c r="AF28" s="295">
        <v>0</v>
      </c>
      <c r="AG28" s="295">
        <v>0</v>
      </c>
      <c r="AH28" s="295">
        <v>1267.5</v>
      </c>
      <c r="AI28" s="362"/>
      <c r="AO28" s="311" t="s">
        <v>1747</v>
      </c>
      <c r="AP28" s="338">
        <v>91494.430000000008</v>
      </c>
      <c r="AQ28" s="323">
        <v>91575</v>
      </c>
      <c r="AR28" s="323">
        <v>94322.250000000015</v>
      </c>
      <c r="AS28" s="323">
        <v>97151.917499999981</v>
      </c>
      <c r="AT28" s="323">
        <v>100066.47502499999</v>
      </c>
      <c r="AU28" s="323">
        <v>103068.46927575</v>
      </c>
      <c r="AV28" s="323">
        <v>106160.52335402249</v>
      </c>
      <c r="AW28" s="323">
        <v>109345.33905464318</v>
      </c>
      <c r="AX28" s="323">
        <v>112625.69922628248</v>
      </c>
      <c r="AY28" s="323">
        <v>116004.470203071</v>
      </c>
      <c r="AZ28" s="324">
        <v>119484.60430916311</v>
      </c>
    </row>
    <row r="29" spans="1:58" ht="13.5" customHeight="1">
      <c r="A29" s="291">
        <v>0</v>
      </c>
      <c r="B29" s="291">
        <v>0</v>
      </c>
      <c r="C29" s="292" t="s">
        <v>724</v>
      </c>
      <c r="D29" s="293" t="s">
        <v>139</v>
      </c>
      <c r="E29" s="293" t="str">
        <f t="shared" si="0"/>
        <v>Q</v>
      </c>
      <c r="F29" s="293" t="s">
        <v>126</v>
      </c>
      <c r="G29" s="294">
        <v>600</v>
      </c>
      <c r="H29" s="292" t="s">
        <v>101</v>
      </c>
      <c r="I29" s="292" t="s">
        <v>682</v>
      </c>
      <c r="J29" s="293"/>
      <c r="K29" s="293"/>
      <c r="L29" s="293"/>
      <c r="M29" s="293"/>
      <c r="N29" s="295">
        <v>1309</v>
      </c>
      <c r="O29" s="296"/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Z29" s="295">
        <v>0</v>
      </c>
      <c r="AA29" s="295">
        <v>0</v>
      </c>
      <c r="AB29" s="295">
        <v>0</v>
      </c>
      <c r="AC29" s="295">
        <v>0</v>
      </c>
      <c r="AD29" s="295">
        <v>0</v>
      </c>
      <c r="AE29" s="295">
        <v>0</v>
      </c>
      <c r="AF29" s="295">
        <v>0</v>
      </c>
      <c r="AG29" s="295">
        <v>0</v>
      </c>
      <c r="AH29" s="295">
        <v>0</v>
      </c>
      <c r="AI29" s="362"/>
      <c r="AJ29" s="279" t="s">
        <v>1917</v>
      </c>
      <c r="AO29" s="311" t="s">
        <v>1748</v>
      </c>
      <c r="AP29" s="338">
        <v>207771.55000000002</v>
      </c>
      <c r="AQ29" s="323">
        <v>210375</v>
      </c>
      <c r="AR29" s="323">
        <v>216686.25</v>
      </c>
      <c r="AS29" s="323">
        <v>223186.83750000005</v>
      </c>
      <c r="AT29" s="323">
        <v>229882.442625</v>
      </c>
      <c r="AU29" s="323">
        <v>236778.91590374996</v>
      </c>
      <c r="AV29" s="323">
        <v>243882.28338086247</v>
      </c>
      <c r="AW29" s="323">
        <v>251198.75188228834</v>
      </c>
      <c r="AX29" s="323">
        <v>258734.71443875704</v>
      </c>
      <c r="AY29" s="323">
        <v>266496.75587191986</v>
      </c>
      <c r="AZ29" s="324">
        <v>274491.65854807745</v>
      </c>
    </row>
    <row r="30" spans="1:58" ht="13.5" customHeight="1">
      <c r="A30" s="291">
        <v>0</v>
      </c>
      <c r="B30" s="291">
        <v>0</v>
      </c>
      <c r="C30" s="292" t="s">
        <v>727</v>
      </c>
      <c r="D30" s="293" t="s">
        <v>279</v>
      </c>
      <c r="E30" s="293" t="str">
        <f t="shared" si="0"/>
        <v>G</v>
      </c>
      <c r="F30" s="293" t="s">
        <v>126</v>
      </c>
      <c r="G30" s="294">
        <v>600</v>
      </c>
      <c r="H30" s="292" t="s">
        <v>140</v>
      </c>
      <c r="I30" s="292" t="s">
        <v>682</v>
      </c>
      <c r="J30" s="293"/>
      <c r="K30" s="293"/>
      <c r="L30" s="293"/>
      <c r="M30" s="293"/>
      <c r="N30" s="295">
        <v>1099</v>
      </c>
      <c r="O30" s="296"/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Z30" s="295">
        <v>0</v>
      </c>
      <c r="AA30" s="295">
        <v>0</v>
      </c>
      <c r="AB30" s="295">
        <v>0</v>
      </c>
      <c r="AC30" s="295">
        <v>0</v>
      </c>
      <c r="AD30" s="295">
        <v>0</v>
      </c>
      <c r="AE30" s="295">
        <v>0</v>
      </c>
      <c r="AF30" s="295">
        <v>0</v>
      </c>
      <c r="AG30" s="295">
        <v>0</v>
      </c>
      <c r="AH30" s="295">
        <v>0</v>
      </c>
      <c r="AI30" s="362"/>
      <c r="AJ30" s="220" t="s">
        <v>1918</v>
      </c>
      <c r="AK30" s="358">
        <v>0</v>
      </c>
      <c r="AO30" s="311" t="s">
        <v>1749</v>
      </c>
      <c r="AP30" s="338">
        <v>0</v>
      </c>
      <c r="AQ30" s="323">
        <v>44550</v>
      </c>
      <c r="AR30" s="323">
        <v>183546.00000000003</v>
      </c>
      <c r="AS30" s="323">
        <v>189052.37999999998</v>
      </c>
      <c r="AT30" s="323">
        <v>194723.95140000002</v>
      </c>
      <c r="AU30" s="323">
        <v>200565.6699420001</v>
      </c>
      <c r="AV30" s="323">
        <v>206582.64004026001</v>
      </c>
      <c r="AW30" s="323">
        <v>212780.11924146779</v>
      </c>
      <c r="AX30" s="323">
        <v>219163.52281871191</v>
      </c>
      <c r="AY30" s="323">
        <v>225738.4285032732</v>
      </c>
      <c r="AZ30" s="324">
        <v>232510.58135837145</v>
      </c>
    </row>
    <row r="31" spans="1:58" ht="13.5" customHeight="1">
      <c r="A31" s="291">
        <v>32161</v>
      </c>
      <c r="B31" s="291">
        <v>43264</v>
      </c>
      <c r="C31" s="292" t="s">
        <v>727</v>
      </c>
      <c r="D31" s="293" t="s">
        <v>279</v>
      </c>
      <c r="E31" s="293" t="str">
        <f t="shared" si="0"/>
        <v>G</v>
      </c>
      <c r="F31" s="293" t="s">
        <v>126</v>
      </c>
      <c r="G31" s="294">
        <v>600</v>
      </c>
      <c r="H31" s="292" t="s">
        <v>2082</v>
      </c>
      <c r="I31" s="292" t="s">
        <v>2083</v>
      </c>
      <c r="J31" s="293" t="s">
        <v>500</v>
      </c>
      <c r="K31" s="293"/>
      <c r="L31" s="293" t="s">
        <v>500</v>
      </c>
      <c r="M31" s="293" t="s">
        <v>2084</v>
      </c>
      <c r="N31" s="295">
        <v>0</v>
      </c>
      <c r="O31" s="296" t="s">
        <v>673</v>
      </c>
      <c r="P31" s="295">
        <v>0</v>
      </c>
      <c r="Q31" s="295">
        <v>0</v>
      </c>
      <c r="R31" s="295">
        <v>250</v>
      </c>
      <c r="S31" s="295">
        <v>1099</v>
      </c>
      <c r="T31" s="295">
        <v>1099</v>
      </c>
      <c r="U31" s="295">
        <v>30</v>
      </c>
      <c r="V31" s="295">
        <v>10</v>
      </c>
      <c r="W31" s="295">
        <v>5.5</v>
      </c>
      <c r="X31" s="295">
        <v>5</v>
      </c>
      <c r="Y31" s="295">
        <v>18</v>
      </c>
      <c r="Z31" s="295">
        <v>15</v>
      </c>
      <c r="AA31" s="295">
        <v>70</v>
      </c>
      <c r="AB31" s="295">
        <v>0</v>
      </c>
      <c r="AC31" s="295">
        <v>0</v>
      </c>
      <c r="AD31" s="295">
        <v>0</v>
      </c>
      <c r="AE31" s="295">
        <v>0</v>
      </c>
      <c r="AF31" s="295">
        <v>0</v>
      </c>
      <c r="AG31" s="295">
        <v>0</v>
      </c>
      <c r="AH31" s="295">
        <v>1252.5</v>
      </c>
      <c r="AI31" s="362"/>
      <c r="AJ31" s="220" t="s">
        <v>1919</v>
      </c>
      <c r="AK31" s="358">
        <v>0</v>
      </c>
      <c r="AO31" s="311" t="s">
        <v>1750</v>
      </c>
      <c r="AP31" s="338">
        <v>113265.91</v>
      </c>
      <c r="AQ31" s="323">
        <v>111375</v>
      </c>
      <c r="AR31" s="323">
        <v>114716.25</v>
      </c>
      <c r="AS31" s="323">
        <v>118157.73749999997</v>
      </c>
      <c r="AT31" s="323">
        <v>121702.46962499997</v>
      </c>
      <c r="AU31" s="323">
        <v>125353.54371375003</v>
      </c>
      <c r="AV31" s="323">
        <v>129114.15002516248</v>
      </c>
      <c r="AW31" s="323">
        <v>132987.57452591739</v>
      </c>
      <c r="AX31" s="323">
        <v>136977.20176169492</v>
      </c>
      <c r="AY31" s="323">
        <v>141086.51781454578</v>
      </c>
      <c r="AZ31" s="324">
        <v>145319.11334898215</v>
      </c>
    </row>
    <row r="32" spans="1:58" ht="13.5" thickBot="1">
      <c r="A32" s="291">
        <v>761</v>
      </c>
      <c r="B32" s="291">
        <v>42750</v>
      </c>
      <c r="C32" s="292" t="s">
        <v>728</v>
      </c>
      <c r="D32" s="293" t="s">
        <v>677</v>
      </c>
      <c r="E32" s="293" t="str">
        <f t="shared" si="0"/>
        <v>G</v>
      </c>
      <c r="F32" s="293" t="s">
        <v>126</v>
      </c>
      <c r="G32" s="294">
        <v>1076</v>
      </c>
      <c r="H32" s="292" t="s">
        <v>97</v>
      </c>
      <c r="I32" s="292" t="s">
        <v>729</v>
      </c>
      <c r="J32" s="293" t="s">
        <v>730</v>
      </c>
      <c r="K32" s="293"/>
      <c r="L32" s="293" t="s">
        <v>430</v>
      </c>
      <c r="M32" s="293" t="s">
        <v>1813</v>
      </c>
      <c r="N32" s="295">
        <v>1609</v>
      </c>
      <c r="O32" s="296" t="s">
        <v>673</v>
      </c>
      <c r="P32" s="295">
        <v>0</v>
      </c>
      <c r="Q32" s="295">
        <v>0</v>
      </c>
      <c r="R32" s="295">
        <v>0</v>
      </c>
      <c r="S32" s="295">
        <v>1730</v>
      </c>
      <c r="T32" s="295">
        <v>1730</v>
      </c>
      <c r="U32" s="295">
        <v>30</v>
      </c>
      <c r="V32" s="295">
        <v>10</v>
      </c>
      <c r="W32" s="295">
        <v>5.5</v>
      </c>
      <c r="X32" s="295">
        <v>5</v>
      </c>
      <c r="Y32" s="295">
        <v>18</v>
      </c>
      <c r="Z32" s="295">
        <v>0</v>
      </c>
      <c r="AA32" s="295">
        <v>0</v>
      </c>
      <c r="AB32" s="295">
        <v>35</v>
      </c>
      <c r="AC32" s="295">
        <v>0</v>
      </c>
      <c r="AD32" s="295">
        <v>0</v>
      </c>
      <c r="AE32" s="295">
        <v>0</v>
      </c>
      <c r="AF32" s="295">
        <v>0</v>
      </c>
      <c r="AG32" s="295">
        <v>0</v>
      </c>
      <c r="AH32" s="295">
        <v>1833.5</v>
      </c>
      <c r="AI32" s="362"/>
      <c r="AJ32" s="359" t="s">
        <v>1920</v>
      </c>
      <c r="AK32" s="360">
        <v>0</v>
      </c>
      <c r="AO32" s="311" t="s">
        <v>1751</v>
      </c>
      <c r="AP32" s="338">
        <v>0</v>
      </c>
      <c r="AQ32" s="323">
        <v>0</v>
      </c>
      <c r="AR32" s="323">
        <v>0</v>
      </c>
      <c r="AS32" s="323">
        <v>0</v>
      </c>
      <c r="AT32" s="323">
        <v>0</v>
      </c>
      <c r="AU32" s="323">
        <v>0</v>
      </c>
      <c r="AV32" s="323">
        <v>0</v>
      </c>
      <c r="AW32" s="323">
        <v>0</v>
      </c>
      <c r="AX32" s="323">
        <v>0</v>
      </c>
      <c r="AY32" s="323">
        <v>0</v>
      </c>
      <c r="AZ32" s="324">
        <v>0</v>
      </c>
    </row>
    <row r="33" spans="1:52" ht="13.5" customHeight="1">
      <c r="A33" s="291">
        <v>31927</v>
      </c>
      <c r="B33" s="291">
        <v>42817</v>
      </c>
      <c r="C33" s="292" t="s">
        <v>732</v>
      </c>
      <c r="D33" s="293" t="s">
        <v>153</v>
      </c>
      <c r="E33" s="293" t="str">
        <f t="shared" si="0"/>
        <v>F</v>
      </c>
      <c r="F33" s="293" t="s">
        <v>126</v>
      </c>
      <c r="G33" s="294">
        <v>1076</v>
      </c>
      <c r="H33" s="292" t="s">
        <v>97</v>
      </c>
      <c r="I33" s="292" t="s">
        <v>1814</v>
      </c>
      <c r="J33" s="293" t="s">
        <v>731</v>
      </c>
      <c r="K33" s="293"/>
      <c r="L33" s="293" t="s">
        <v>731</v>
      </c>
      <c r="M33" s="293" t="s">
        <v>1813</v>
      </c>
      <c r="N33" s="295">
        <v>1539</v>
      </c>
      <c r="O33" s="296" t="s">
        <v>673</v>
      </c>
      <c r="P33" s="295">
        <v>0</v>
      </c>
      <c r="Q33" s="295">
        <v>0</v>
      </c>
      <c r="R33" s="295">
        <v>-863</v>
      </c>
      <c r="S33" s="295">
        <v>1569</v>
      </c>
      <c r="T33" s="295">
        <v>1569</v>
      </c>
      <c r="U33" s="295">
        <v>30</v>
      </c>
      <c r="V33" s="295">
        <v>10</v>
      </c>
      <c r="W33" s="295">
        <v>5.5</v>
      </c>
      <c r="X33" s="295">
        <v>5</v>
      </c>
      <c r="Y33" s="295">
        <v>18</v>
      </c>
      <c r="Z33" s="295">
        <v>30</v>
      </c>
      <c r="AA33" s="295">
        <v>0</v>
      </c>
      <c r="AB33" s="295">
        <v>0</v>
      </c>
      <c r="AC33" s="295">
        <v>0</v>
      </c>
      <c r="AD33" s="295">
        <v>0</v>
      </c>
      <c r="AE33" s="295">
        <v>0</v>
      </c>
      <c r="AF33" s="295">
        <v>0</v>
      </c>
      <c r="AG33" s="295">
        <v>0</v>
      </c>
      <c r="AH33" s="295">
        <v>1667.5</v>
      </c>
      <c r="AI33" s="362"/>
      <c r="AJ33" s="220" t="s">
        <v>540</v>
      </c>
      <c r="AK33" s="278">
        <f>+SUM(AK30:AK32)</f>
        <v>0</v>
      </c>
      <c r="AO33" s="311" t="s">
        <v>1752</v>
      </c>
      <c r="AP33" s="338">
        <v>232268.57</v>
      </c>
      <c r="AQ33" s="323">
        <v>232268.57000000004</v>
      </c>
      <c r="AR33" s="323">
        <v>239236.62710000007</v>
      </c>
      <c r="AS33" s="323">
        <v>246413.72591299994</v>
      </c>
      <c r="AT33" s="323">
        <v>253806.13769038997</v>
      </c>
      <c r="AU33" s="323">
        <v>261420.32182110168</v>
      </c>
      <c r="AV33" s="323">
        <v>269262.9314757348</v>
      </c>
      <c r="AW33" s="323">
        <v>277340.81942000677</v>
      </c>
      <c r="AX33" s="323">
        <v>285661.04400260706</v>
      </c>
      <c r="AY33" s="323">
        <v>294230.87532268529</v>
      </c>
      <c r="AZ33" s="324">
        <v>303057.80158236588</v>
      </c>
    </row>
    <row r="34" spans="1:52" ht="13.5" customHeight="1">
      <c r="A34" s="291">
        <v>31892</v>
      </c>
      <c r="B34" s="291">
        <v>42741</v>
      </c>
      <c r="C34" s="292" t="s">
        <v>733</v>
      </c>
      <c r="D34" s="293" t="s">
        <v>153</v>
      </c>
      <c r="E34" s="293" t="str">
        <f t="shared" si="0"/>
        <v>F</v>
      </c>
      <c r="F34" s="293" t="s">
        <v>126</v>
      </c>
      <c r="G34" s="294">
        <v>1076</v>
      </c>
      <c r="H34" s="292" t="s">
        <v>142</v>
      </c>
      <c r="I34" s="292" t="s">
        <v>734</v>
      </c>
      <c r="J34" s="293" t="s">
        <v>735</v>
      </c>
      <c r="K34" s="293" t="s">
        <v>480</v>
      </c>
      <c r="L34" s="293" t="s">
        <v>735</v>
      </c>
      <c r="M34" s="293" t="s">
        <v>480</v>
      </c>
      <c r="N34" s="295">
        <v>1539</v>
      </c>
      <c r="O34" s="296" t="s">
        <v>673</v>
      </c>
      <c r="P34" s="295">
        <v>0</v>
      </c>
      <c r="Q34" s="295">
        <v>0</v>
      </c>
      <c r="R34" s="295">
        <v>0</v>
      </c>
      <c r="S34" s="295">
        <v>1569</v>
      </c>
      <c r="T34" s="295">
        <v>1569</v>
      </c>
      <c r="U34" s="295">
        <v>30</v>
      </c>
      <c r="V34" s="295">
        <v>10</v>
      </c>
      <c r="W34" s="295">
        <v>5.5</v>
      </c>
      <c r="X34" s="295">
        <v>5</v>
      </c>
      <c r="Y34" s="295">
        <v>18</v>
      </c>
      <c r="Z34" s="295">
        <v>30</v>
      </c>
      <c r="AA34" s="295">
        <v>0</v>
      </c>
      <c r="AB34" s="295">
        <v>0</v>
      </c>
      <c r="AC34" s="295">
        <v>0</v>
      </c>
      <c r="AD34" s="295">
        <v>0</v>
      </c>
      <c r="AE34" s="295">
        <v>0</v>
      </c>
      <c r="AF34" s="295">
        <v>0</v>
      </c>
      <c r="AG34" s="295">
        <v>0</v>
      </c>
      <c r="AH34" s="295">
        <v>1667.5</v>
      </c>
      <c r="AI34" s="362"/>
      <c r="AJ34" s="220" t="s">
        <v>541</v>
      </c>
      <c r="AK34" s="278">
        <f>+AK33*4</f>
        <v>0</v>
      </c>
      <c r="AO34" s="311" t="s">
        <v>1753</v>
      </c>
      <c r="AP34" s="338">
        <v>42871.94000000001</v>
      </c>
      <c r="AQ34" s="323">
        <v>45045</v>
      </c>
      <c r="AR34" s="323">
        <v>46396.350000000006</v>
      </c>
      <c r="AS34" s="323">
        <v>47788.240499999993</v>
      </c>
      <c r="AT34" s="323">
        <v>49221.887715000012</v>
      </c>
      <c r="AU34" s="323">
        <v>50698.54434645002</v>
      </c>
      <c r="AV34" s="323">
        <v>52219.500676843491</v>
      </c>
      <c r="AW34" s="323">
        <v>53786.085697148817</v>
      </c>
      <c r="AX34" s="323">
        <v>55399.668268063258</v>
      </c>
      <c r="AY34" s="323">
        <v>57061.658316105189</v>
      </c>
      <c r="AZ34" s="324">
        <v>58773.508065588343</v>
      </c>
    </row>
    <row r="35" spans="1:52" ht="13.5" customHeight="1">
      <c r="A35" s="291">
        <v>154</v>
      </c>
      <c r="B35" s="291">
        <v>42869</v>
      </c>
      <c r="C35" s="292" t="s">
        <v>736</v>
      </c>
      <c r="D35" s="293" t="s">
        <v>149</v>
      </c>
      <c r="E35" s="293" t="str">
        <f t="shared" si="0"/>
        <v>2</v>
      </c>
      <c r="F35" s="293" t="s">
        <v>126</v>
      </c>
      <c r="G35" s="294">
        <v>1076</v>
      </c>
      <c r="H35" s="292" t="s">
        <v>97</v>
      </c>
      <c r="I35" s="292" t="s">
        <v>737</v>
      </c>
      <c r="J35" s="293" t="s">
        <v>738</v>
      </c>
      <c r="K35" s="293"/>
      <c r="L35" s="293" t="s">
        <v>436</v>
      </c>
      <c r="M35" s="293" t="s">
        <v>1941</v>
      </c>
      <c r="N35" s="295">
        <v>1609</v>
      </c>
      <c r="O35" s="296" t="s">
        <v>673</v>
      </c>
      <c r="P35" s="295">
        <v>0</v>
      </c>
      <c r="Q35" s="295">
        <v>0</v>
      </c>
      <c r="R35" s="295">
        <v>25</v>
      </c>
      <c r="S35" s="295">
        <v>1744</v>
      </c>
      <c r="T35" s="295">
        <v>1744</v>
      </c>
      <c r="U35" s="295">
        <v>30</v>
      </c>
      <c r="V35" s="295">
        <v>10</v>
      </c>
      <c r="W35" s="295">
        <v>5.5</v>
      </c>
      <c r="X35" s="295">
        <v>5</v>
      </c>
      <c r="Y35" s="295">
        <v>18</v>
      </c>
      <c r="Z35" s="295">
        <v>45</v>
      </c>
      <c r="AA35" s="295">
        <v>0</v>
      </c>
      <c r="AB35" s="295">
        <v>0</v>
      </c>
      <c r="AC35" s="295">
        <v>0</v>
      </c>
      <c r="AD35" s="295">
        <v>0</v>
      </c>
      <c r="AE35" s="295">
        <v>0</v>
      </c>
      <c r="AF35" s="295">
        <v>0</v>
      </c>
      <c r="AG35" s="295">
        <v>0</v>
      </c>
      <c r="AH35" s="295">
        <v>1857.5</v>
      </c>
      <c r="AI35" s="362"/>
      <c r="AO35" s="311" t="s">
        <v>1754</v>
      </c>
      <c r="AP35" s="338">
        <v>20740.100000000006</v>
      </c>
      <c r="AQ35" s="323">
        <v>25245</v>
      </c>
      <c r="AR35" s="323">
        <v>26002.349999999995</v>
      </c>
      <c r="AS35" s="323">
        <v>26782.420499999993</v>
      </c>
      <c r="AT35" s="323">
        <v>27585.89311500001</v>
      </c>
      <c r="AU35" s="323">
        <v>28413.469908450003</v>
      </c>
      <c r="AV35" s="323">
        <v>29265.874005703507</v>
      </c>
      <c r="AW35" s="323">
        <v>30143.850225874605</v>
      </c>
      <c r="AX35" s="323">
        <v>31048.165732650854</v>
      </c>
      <c r="AY35" s="323">
        <v>31979.610704630384</v>
      </c>
      <c r="AZ35" s="324">
        <v>32938.999025769277</v>
      </c>
    </row>
    <row r="36" spans="1:52" ht="13.5" customHeight="1">
      <c r="A36" s="291">
        <v>10977</v>
      </c>
      <c r="B36" s="291">
        <v>42680</v>
      </c>
      <c r="C36" s="292" t="s">
        <v>740</v>
      </c>
      <c r="D36" s="293" t="s">
        <v>677</v>
      </c>
      <c r="E36" s="293" t="str">
        <f t="shared" si="0"/>
        <v>G</v>
      </c>
      <c r="F36" s="293" t="s">
        <v>126</v>
      </c>
      <c r="G36" s="294">
        <v>1076</v>
      </c>
      <c r="H36" s="292" t="s">
        <v>97</v>
      </c>
      <c r="I36" s="292" t="s">
        <v>741</v>
      </c>
      <c r="J36" s="293" t="s">
        <v>742</v>
      </c>
      <c r="K36" s="293"/>
      <c r="L36" s="293" t="s">
        <v>394</v>
      </c>
      <c r="M36" s="293" t="s">
        <v>500</v>
      </c>
      <c r="N36" s="295">
        <v>1579</v>
      </c>
      <c r="O36" s="296" t="s">
        <v>673</v>
      </c>
      <c r="P36" s="295">
        <v>0</v>
      </c>
      <c r="Q36" s="295">
        <v>0</v>
      </c>
      <c r="R36" s="295">
        <v>25</v>
      </c>
      <c r="S36" s="295">
        <v>1652</v>
      </c>
      <c r="T36" s="295">
        <v>1652</v>
      </c>
      <c r="U36" s="295">
        <v>30</v>
      </c>
      <c r="V36" s="295">
        <v>10</v>
      </c>
      <c r="W36" s="295">
        <v>5.5</v>
      </c>
      <c r="X36" s="295">
        <v>5</v>
      </c>
      <c r="Y36" s="295">
        <v>18</v>
      </c>
      <c r="Z36" s="295">
        <v>30</v>
      </c>
      <c r="AA36" s="295">
        <v>0</v>
      </c>
      <c r="AB36" s="295">
        <v>0</v>
      </c>
      <c r="AC36" s="295">
        <v>0</v>
      </c>
      <c r="AD36" s="295">
        <v>0</v>
      </c>
      <c r="AE36" s="295">
        <v>0</v>
      </c>
      <c r="AF36" s="295">
        <v>0</v>
      </c>
      <c r="AG36" s="295">
        <v>0</v>
      </c>
      <c r="AH36" s="295">
        <v>1750.5</v>
      </c>
      <c r="AI36" s="362"/>
      <c r="AO36" s="311" t="s">
        <v>1755</v>
      </c>
      <c r="AP36" s="338">
        <v>287016.97000000003</v>
      </c>
      <c r="AQ36" s="323">
        <v>294525</v>
      </c>
      <c r="AR36" s="323">
        <v>303360.75</v>
      </c>
      <c r="AS36" s="323">
        <v>312461.57250000001</v>
      </c>
      <c r="AT36" s="323">
        <v>321835.41967500001</v>
      </c>
      <c r="AU36" s="323">
        <v>331490.48226524988</v>
      </c>
      <c r="AV36" s="323">
        <v>341435.19673320744</v>
      </c>
      <c r="AW36" s="323">
        <v>351678.25263520377</v>
      </c>
      <c r="AX36" s="323">
        <v>362228.60021425987</v>
      </c>
      <c r="AY36" s="323">
        <v>373095.45822068764</v>
      </c>
      <c r="AZ36" s="324">
        <v>384288.32196730835</v>
      </c>
    </row>
    <row r="37" spans="1:52" ht="13.5" customHeight="1">
      <c r="A37" s="291">
        <v>0</v>
      </c>
      <c r="B37" s="291">
        <v>0</v>
      </c>
      <c r="C37" s="292" t="s">
        <v>743</v>
      </c>
      <c r="D37" s="293" t="s">
        <v>147</v>
      </c>
      <c r="E37" s="293" t="str">
        <f t="shared" si="0"/>
        <v>Q</v>
      </c>
      <c r="F37" s="293" t="s">
        <v>126</v>
      </c>
      <c r="G37" s="294">
        <v>1076</v>
      </c>
      <c r="H37" s="292" t="s">
        <v>101</v>
      </c>
      <c r="I37" s="292" t="s">
        <v>682</v>
      </c>
      <c r="J37" s="293"/>
      <c r="K37" s="293"/>
      <c r="L37" s="293"/>
      <c r="M37" s="293"/>
      <c r="N37" s="295">
        <v>1659</v>
      </c>
      <c r="O37" s="296"/>
      <c r="P37" s="295">
        <v>0</v>
      </c>
      <c r="Q37" s="295">
        <v>0</v>
      </c>
      <c r="R37" s="295">
        <v>0</v>
      </c>
      <c r="S37" s="295">
        <v>0</v>
      </c>
      <c r="T37" s="295">
        <v>0</v>
      </c>
      <c r="U37" s="295">
        <v>0</v>
      </c>
      <c r="V37" s="295">
        <v>0</v>
      </c>
      <c r="W37" s="295">
        <v>0</v>
      </c>
      <c r="X37" s="295">
        <v>0</v>
      </c>
      <c r="Y37" s="295">
        <v>0</v>
      </c>
      <c r="Z37" s="295">
        <v>0</v>
      </c>
      <c r="AA37" s="295">
        <v>0</v>
      </c>
      <c r="AB37" s="295">
        <v>0</v>
      </c>
      <c r="AC37" s="295">
        <v>0</v>
      </c>
      <c r="AD37" s="295">
        <v>0</v>
      </c>
      <c r="AE37" s="295">
        <v>0</v>
      </c>
      <c r="AF37" s="295">
        <v>0</v>
      </c>
      <c r="AG37" s="295">
        <v>0</v>
      </c>
      <c r="AH37" s="295">
        <v>0</v>
      </c>
      <c r="AI37" s="362"/>
      <c r="AO37" s="311" t="s">
        <v>1756</v>
      </c>
      <c r="AP37" s="338">
        <v>139580.37649999998</v>
      </c>
      <c r="AQ37" s="323">
        <v>139580.37649999998</v>
      </c>
      <c r="AR37" s="323">
        <v>132601.35767500001</v>
      </c>
      <c r="AS37" s="323">
        <v>135253.38482850001</v>
      </c>
      <c r="AT37" s="323">
        <v>139310.98637335497</v>
      </c>
      <c r="AU37" s="323">
        <v>143490.31596455566</v>
      </c>
      <c r="AV37" s="323">
        <v>147795.02544349234</v>
      </c>
      <c r="AW37" s="323">
        <v>152228.87620679714</v>
      </c>
      <c r="AX37" s="323">
        <v>156795.74249300105</v>
      </c>
      <c r="AY37" s="323">
        <v>161499.61476779109</v>
      </c>
      <c r="AZ37" s="324">
        <v>166344.6032108248</v>
      </c>
    </row>
    <row r="38" spans="1:52" ht="13.5" customHeight="1">
      <c r="A38" s="291">
        <v>31973</v>
      </c>
      <c r="B38" s="291">
        <v>42904</v>
      </c>
      <c r="C38" s="292" t="s">
        <v>744</v>
      </c>
      <c r="D38" s="293" t="s">
        <v>153</v>
      </c>
      <c r="E38" s="293" t="str">
        <f t="shared" si="0"/>
        <v>F</v>
      </c>
      <c r="F38" s="293" t="s">
        <v>126</v>
      </c>
      <c r="G38" s="294">
        <v>1076</v>
      </c>
      <c r="H38" s="292" t="s">
        <v>97</v>
      </c>
      <c r="I38" s="292" t="s">
        <v>1816</v>
      </c>
      <c r="J38" s="293" t="s">
        <v>1159</v>
      </c>
      <c r="K38" s="293"/>
      <c r="L38" s="293" t="s">
        <v>1159</v>
      </c>
      <c r="M38" s="293" t="s">
        <v>1817</v>
      </c>
      <c r="N38" s="295">
        <v>1539</v>
      </c>
      <c r="O38" s="296" t="s">
        <v>673</v>
      </c>
      <c r="P38" s="295">
        <v>0</v>
      </c>
      <c r="Q38" s="295">
        <v>0</v>
      </c>
      <c r="R38" s="295">
        <v>0</v>
      </c>
      <c r="S38" s="295">
        <v>1569</v>
      </c>
      <c r="T38" s="295">
        <v>1569</v>
      </c>
      <c r="U38" s="295">
        <v>30</v>
      </c>
      <c r="V38" s="295">
        <v>10</v>
      </c>
      <c r="W38" s="295">
        <v>5.5</v>
      </c>
      <c r="X38" s="295">
        <v>5</v>
      </c>
      <c r="Y38" s="295">
        <v>18</v>
      </c>
      <c r="Z38" s="295">
        <v>0</v>
      </c>
      <c r="AA38" s="295">
        <v>0</v>
      </c>
      <c r="AB38" s="295">
        <v>0</v>
      </c>
      <c r="AC38" s="295">
        <v>0</v>
      </c>
      <c r="AD38" s="295">
        <v>0</v>
      </c>
      <c r="AE38" s="295">
        <v>0</v>
      </c>
      <c r="AF38" s="295">
        <v>0</v>
      </c>
      <c r="AG38" s="295">
        <v>0</v>
      </c>
      <c r="AH38" s="295">
        <v>1637.5</v>
      </c>
      <c r="AI38" s="362"/>
      <c r="AO38" s="311" t="s">
        <v>1757</v>
      </c>
      <c r="AP38" s="338">
        <v>123750</v>
      </c>
      <c r="AQ38" s="323">
        <v>123750</v>
      </c>
      <c r="AR38" s="323">
        <v>123750</v>
      </c>
      <c r="AS38" s="323">
        <v>123750</v>
      </c>
      <c r="AT38" s="323">
        <v>123750</v>
      </c>
      <c r="AU38" s="323">
        <v>123750</v>
      </c>
      <c r="AV38" s="323">
        <v>123750</v>
      </c>
      <c r="AW38" s="323">
        <v>123750</v>
      </c>
      <c r="AX38" s="323">
        <v>123750</v>
      </c>
      <c r="AY38" s="323">
        <v>123750</v>
      </c>
      <c r="AZ38" s="324">
        <v>123750</v>
      </c>
    </row>
    <row r="39" spans="1:52" ht="13.5" customHeight="1">
      <c r="A39" s="291">
        <v>0</v>
      </c>
      <c r="B39" s="291">
        <v>0</v>
      </c>
      <c r="C39" s="292" t="s">
        <v>745</v>
      </c>
      <c r="D39" s="293" t="s">
        <v>677</v>
      </c>
      <c r="E39" s="293" t="str">
        <f t="shared" si="0"/>
        <v>G</v>
      </c>
      <c r="F39" s="293" t="s">
        <v>126</v>
      </c>
      <c r="G39" s="294">
        <v>1076</v>
      </c>
      <c r="H39" s="292" t="s">
        <v>101</v>
      </c>
      <c r="I39" s="292" t="s">
        <v>682</v>
      </c>
      <c r="J39" s="293"/>
      <c r="K39" s="293"/>
      <c r="L39" s="293"/>
      <c r="M39" s="293"/>
      <c r="N39" s="295">
        <v>1609</v>
      </c>
      <c r="O39" s="296"/>
      <c r="P39" s="295">
        <v>0</v>
      </c>
      <c r="Q39" s="295">
        <v>0</v>
      </c>
      <c r="R39" s="295">
        <v>0</v>
      </c>
      <c r="S39" s="295">
        <v>0</v>
      </c>
      <c r="T39" s="295">
        <v>0</v>
      </c>
      <c r="U39" s="295">
        <v>0</v>
      </c>
      <c r="V39" s="295">
        <v>0</v>
      </c>
      <c r="W39" s="295">
        <v>0</v>
      </c>
      <c r="X39" s="295">
        <v>0</v>
      </c>
      <c r="Y39" s="295">
        <v>0</v>
      </c>
      <c r="Z39" s="295">
        <v>0</v>
      </c>
      <c r="AA39" s="295">
        <v>0</v>
      </c>
      <c r="AB39" s="295">
        <v>0</v>
      </c>
      <c r="AC39" s="295">
        <v>0</v>
      </c>
      <c r="AD39" s="295">
        <v>0</v>
      </c>
      <c r="AE39" s="295">
        <v>0</v>
      </c>
      <c r="AF39" s="295">
        <v>0</v>
      </c>
      <c r="AG39" s="295">
        <v>0</v>
      </c>
      <c r="AH39" s="295">
        <v>0</v>
      </c>
      <c r="AI39" s="362"/>
      <c r="AO39" s="311" t="s">
        <v>1758</v>
      </c>
      <c r="AP39" s="338">
        <v>0</v>
      </c>
      <c r="AQ39" s="323">
        <v>0</v>
      </c>
      <c r="AR39" s="323">
        <v>0</v>
      </c>
      <c r="AS39" s="323">
        <v>0</v>
      </c>
      <c r="AT39" s="323">
        <v>0</v>
      </c>
      <c r="AU39" s="323">
        <v>0</v>
      </c>
      <c r="AV39" s="323">
        <v>0</v>
      </c>
      <c r="AW39" s="323">
        <v>0</v>
      </c>
      <c r="AX39" s="323">
        <v>0</v>
      </c>
      <c r="AY39" s="323">
        <v>0</v>
      </c>
      <c r="AZ39" s="324">
        <v>0</v>
      </c>
    </row>
    <row r="40" spans="1:52" ht="13.5" customHeight="1">
      <c r="A40" s="291">
        <v>11324</v>
      </c>
      <c r="B40" s="291">
        <v>43016</v>
      </c>
      <c r="C40" s="292" t="s">
        <v>746</v>
      </c>
      <c r="D40" s="293" t="s">
        <v>167</v>
      </c>
      <c r="E40" s="293" t="str">
        <f t="shared" si="0"/>
        <v>Q</v>
      </c>
      <c r="F40" s="293" t="s">
        <v>126</v>
      </c>
      <c r="G40" s="294">
        <v>700</v>
      </c>
      <c r="H40" s="292" t="s">
        <v>97</v>
      </c>
      <c r="I40" s="292" t="s">
        <v>747</v>
      </c>
      <c r="J40" s="293" t="s">
        <v>748</v>
      </c>
      <c r="K40" s="293"/>
      <c r="L40" s="293" t="s">
        <v>1938</v>
      </c>
      <c r="M40" s="293" t="s">
        <v>1939</v>
      </c>
      <c r="N40" s="295">
        <v>1359</v>
      </c>
      <c r="O40" s="296" t="s">
        <v>673</v>
      </c>
      <c r="P40" s="295">
        <v>0</v>
      </c>
      <c r="Q40" s="295">
        <v>0</v>
      </c>
      <c r="R40" s="295">
        <v>0</v>
      </c>
      <c r="S40" s="295">
        <v>1439</v>
      </c>
      <c r="T40" s="295">
        <v>1439</v>
      </c>
      <c r="U40" s="295">
        <v>30</v>
      </c>
      <c r="V40" s="295">
        <v>10</v>
      </c>
      <c r="W40" s="295">
        <v>5.5</v>
      </c>
      <c r="X40" s="295">
        <v>5</v>
      </c>
      <c r="Y40" s="295">
        <v>18</v>
      </c>
      <c r="Z40" s="295">
        <v>15</v>
      </c>
      <c r="AA40" s="295">
        <v>0</v>
      </c>
      <c r="AB40" s="295">
        <v>0</v>
      </c>
      <c r="AC40" s="295">
        <v>0</v>
      </c>
      <c r="AD40" s="295">
        <v>0</v>
      </c>
      <c r="AE40" s="295">
        <v>0</v>
      </c>
      <c r="AF40" s="295">
        <v>0</v>
      </c>
      <c r="AG40" s="295">
        <v>0</v>
      </c>
      <c r="AH40" s="295">
        <v>1522.5</v>
      </c>
      <c r="AI40" s="362"/>
      <c r="AO40" s="311" t="s">
        <v>1759</v>
      </c>
      <c r="AP40" s="338">
        <v>387582.99999999994</v>
      </c>
      <c r="AQ40" s="323">
        <v>387582.99999999994</v>
      </c>
      <c r="AR40" s="323">
        <v>406962.15000000008</v>
      </c>
      <c r="AS40" s="323">
        <v>427310.25749999989</v>
      </c>
      <c r="AT40" s="323">
        <v>448675.77037500008</v>
      </c>
      <c r="AU40" s="323">
        <v>471109.55889375013</v>
      </c>
      <c r="AV40" s="323">
        <v>494665.03683843766</v>
      </c>
      <c r="AW40" s="323">
        <v>519398.28868035966</v>
      </c>
      <c r="AX40" s="323">
        <v>545368.20311437757</v>
      </c>
      <c r="AY40" s="323">
        <v>572636.61327009636</v>
      </c>
      <c r="AZ40" s="324">
        <v>601268.44393360114</v>
      </c>
    </row>
    <row r="41" spans="1:52" ht="13.5" customHeight="1">
      <c r="A41" s="291">
        <v>32107</v>
      </c>
      <c r="B41" s="291">
        <v>43147</v>
      </c>
      <c r="C41" s="292" t="s">
        <v>749</v>
      </c>
      <c r="D41" s="293" t="s">
        <v>167</v>
      </c>
      <c r="E41" s="293" t="str">
        <f t="shared" si="0"/>
        <v>Q</v>
      </c>
      <c r="F41" s="293" t="s">
        <v>126</v>
      </c>
      <c r="G41" s="294">
        <v>700</v>
      </c>
      <c r="H41" s="292" t="s">
        <v>97</v>
      </c>
      <c r="I41" s="292" t="s">
        <v>2085</v>
      </c>
      <c r="J41" s="293" t="s">
        <v>481</v>
      </c>
      <c r="K41" s="293"/>
      <c r="L41" s="293" t="s">
        <v>481</v>
      </c>
      <c r="M41" s="293" t="s">
        <v>1948</v>
      </c>
      <c r="N41" s="295">
        <v>1359</v>
      </c>
      <c r="O41" s="296" t="s">
        <v>673</v>
      </c>
      <c r="P41" s="295">
        <v>0</v>
      </c>
      <c r="Q41" s="295">
        <v>0</v>
      </c>
      <c r="R41" s="295">
        <v>0</v>
      </c>
      <c r="S41" s="295">
        <v>1289</v>
      </c>
      <c r="T41" s="295">
        <v>1289</v>
      </c>
      <c r="U41" s="295">
        <v>30</v>
      </c>
      <c r="V41" s="295">
        <v>10</v>
      </c>
      <c r="W41" s="295">
        <v>5.5</v>
      </c>
      <c r="X41" s="295">
        <v>5</v>
      </c>
      <c r="Y41" s="295">
        <v>18</v>
      </c>
      <c r="Z41" s="295">
        <v>15</v>
      </c>
      <c r="AA41" s="295">
        <v>0</v>
      </c>
      <c r="AB41" s="295">
        <v>35</v>
      </c>
      <c r="AC41" s="295">
        <v>0</v>
      </c>
      <c r="AD41" s="295">
        <v>0</v>
      </c>
      <c r="AE41" s="295">
        <v>0</v>
      </c>
      <c r="AF41" s="295">
        <v>0</v>
      </c>
      <c r="AG41" s="295">
        <v>0</v>
      </c>
      <c r="AH41" s="295">
        <v>1407.5</v>
      </c>
      <c r="AI41" s="362"/>
      <c r="AO41" s="309" t="s">
        <v>1760</v>
      </c>
      <c r="AP41" s="319">
        <v>314494.13288564753</v>
      </c>
      <c r="AQ41" s="325">
        <v>301950.21863038628</v>
      </c>
      <c r="AR41" s="325">
        <v>321744.31433191203</v>
      </c>
      <c r="AS41" s="325">
        <v>342240.66703530587</v>
      </c>
      <c r="AT41" s="325">
        <v>358602.33881522896</v>
      </c>
      <c r="AU41" s="325">
        <v>371946.32029506372</v>
      </c>
      <c r="AV41" s="325">
        <v>384722.73410933849</v>
      </c>
      <c r="AW41" s="325">
        <v>396312.68148026889</v>
      </c>
      <c r="AX41" s="325">
        <v>407951.67667990137</v>
      </c>
      <c r="AY41" s="325">
        <v>419930.64017009293</v>
      </c>
      <c r="AZ41" s="326">
        <v>432259.5585887417</v>
      </c>
    </row>
    <row r="42" spans="1:52" ht="13.5" customHeight="1">
      <c r="A42" s="291">
        <v>32083</v>
      </c>
      <c r="B42" s="291">
        <v>43115</v>
      </c>
      <c r="C42" s="292" t="s">
        <v>751</v>
      </c>
      <c r="D42" s="293" t="s">
        <v>167</v>
      </c>
      <c r="E42" s="293" t="str">
        <f t="shared" si="0"/>
        <v>Q</v>
      </c>
      <c r="F42" s="293" t="s">
        <v>126</v>
      </c>
      <c r="G42" s="294">
        <v>700</v>
      </c>
      <c r="H42" s="292" t="s">
        <v>97</v>
      </c>
      <c r="I42" s="292" t="s">
        <v>1942</v>
      </c>
      <c r="J42" s="293" t="s">
        <v>461</v>
      </c>
      <c r="K42" s="293"/>
      <c r="L42" s="293" t="s">
        <v>461</v>
      </c>
      <c r="M42" s="293" t="s">
        <v>1943</v>
      </c>
      <c r="N42" s="295">
        <v>1329</v>
      </c>
      <c r="O42" s="296" t="s">
        <v>673</v>
      </c>
      <c r="P42" s="295">
        <v>0</v>
      </c>
      <c r="Q42" s="295">
        <v>0</v>
      </c>
      <c r="R42" s="295">
        <v>2.42</v>
      </c>
      <c r="S42" s="295">
        <v>1289</v>
      </c>
      <c r="T42" s="295">
        <v>1289</v>
      </c>
      <c r="U42" s="295">
        <v>30</v>
      </c>
      <c r="V42" s="295">
        <v>10</v>
      </c>
      <c r="W42" s="295">
        <v>5.5</v>
      </c>
      <c r="X42" s="295">
        <v>5</v>
      </c>
      <c r="Y42" s="295">
        <v>18</v>
      </c>
      <c r="Z42" s="295">
        <v>15</v>
      </c>
      <c r="AA42" s="295">
        <v>0</v>
      </c>
      <c r="AB42" s="295">
        <v>0</v>
      </c>
      <c r="AC42" s="295">
        <v>0</v>
      </c>
      <c r="AD42" s="295">
        <v>0</v>
      </c>
      <c r="AE42" s="295">
        <v>0</v>
      </c>
      <c r="AF42" s="295">
        <v>0</v>
      </c>
      <c r="AG42" s="295">
        <v>0</v>
      </c>
      <c r="AH42" s="295">
        <v>1372.5</v>
      </c>
      <c r="AI42" s="362"/>
      <c r="AO42" s="312" t="s">
        <v>1741</v>
      </c>
      <c r="AP42" s="333">
        <v>2545923.7393856477</v>
      </c>
      <c r="AQ42" s="327">
        <v>2588091.8627303857</v>
      </c>
      <c r="AR42" s="327">
        <v>2807002.4376349123</v>
      </c>
      <c r="AS42" s="327">
        <v>2905157.2634606455</v>
      </c>
      <c r="AT42" s="327">
        <v>3003240.1382833291</v>
      </c>
      <c r="AU42" s="327">
        <v>3101184.2691547074</v>
      </c>
      <c r="AV42" s="327">
        <v>3201547.5126126455</v>
      </c>
      <c r="AW42" s="327">
        <v>3303823.0040754448</v>
      </c>
      <c r="AX42" s="327">
        <v>3409362.7747265394</v>
      </c>
      <c r="AY42" s="327">
        <v>3518578.9352204185</v>
      </c>
      <c r="AZ42" s="328">
        <v>3631607.5347559787</v>
      </c>
    </row>
    <row r="43" spans="1:52" ht="13.5" customHeight="1">
      <c r="A43" s="291">
        <v>319</v>
      </c>
      <c r="B43" s="291">
        <v>43066</v>
      </c>
      <c r="C43" s="292" t="s">
        <v>752</v>
      </c>
      <c r="D43" s="293" t="s">
        <v>166</v>
      </c>
      <c r="E43" s="293" t="str">
        <f t="shared" si="0"/>
        <v>2</v>
      </c>
      <c r="F43" s="293" t="s">
        <v>126</v>
      </c>
      <c r="G43" s="294">
        <v>700</v>
      </c>
      <c r="H43" s="292" t="s">
        <v>97</v>
      </c>
      <c r="I43" s="292" t="s">
        <v>753</v>
      </c>
      <c r="J43" s="293" t="s">
        <v>754</v>
      </c>
      <c r="K43" s="293"/>
      <c r="L43" s="293" t="s">
        <v>470</v>
      </c>
      <c r="M43" s="293" t="s">
        <v>2086</v>
      </c>
      <c r="N43" s="295">
        <v>1319</v>
      </c>
      <c r="O43" s="296" t="s">
        <v>673</v>
      </c>
      <c r="P43" s="295">
        <v>0</v>
      </c>
      <c r="Q43" s="295">
        <v>0</v>
      </c>
      <c r="R43" s="295">
        <v>0</v>
      </c>
      <c r="S43" s="295">
        <v>1329</v>
      </c>
      <c r="T43" s="295">
        <v>1329</v>
      </c>
      <c r="U43" s="295">
        <v>30</v>
      </c>
      <c r="V43" s="295">
        <v>10</v>
      </c>
      <c r="W43" s="295">
        <v>5.5</v>
      </c>
      <c r="X43" s="295">
        <v>5</v>
      </c>
      <c r="Y43" s="295">
        <v>0</v>
      </c>
      <c r="Z43" s="295">
        <v>15</v>
      </c>
      <c r="AA43" s="295">
        <v>0</v>
      </c>
      <c r="AB43" s="295">
        <v>0</v>
      </c>
      <c r="AC43" s="295">
        <v>0</v>
      </c>
      <c r="AD43" s="295">
        <v>0</v>
      </c>
      <c r="AE43" s="295">
        <v>0</v>
      </c>
      <c r="AF43" s="295">
        <v>0</v>
      </c>
      <c r="AG43" s="295">
        <v>0</v>
      </c>
      <c r="AH43" s="295">
        <v>1394.5</v>
      </c>
      <c r="AI43" s="362"/>
      <c r="AO43" s="313" t="s">
        <v>1742</v>
      </c>
      <c r="AP43" s="329"/>
      <c r="AQ43" s="329">
        <v>0.29999387185887538</v>
      </c>
      <c r="AR43" s="329">
        <v>0.30535142639963525</v>
      </c>
      <c r="AS43" s="329">
        <v>0.29710234351148324</v>
      </c>
      <c r="AT43" s="329">
        <v>0.29311968568636843</v>
      </c>
      <c r="AU43" s="329">
        <v>0.29182019957694222</v>
      </c>
      <c r="AV43" s="329">
        <v>0.29125953058338561</v>
      </c>
      <c r="AW43" s="329">
        <v>0.29177417364172231</v>
      </c>
      <c r="AX43" s="329">
        <v>0.29250448995962613</v>
      </c>
      <c r="AY43" s="329">
        <v>0.29326334149571137</v>
      </c>
      <c r="AZ43" s="330">
        <v>0.29405078775224974</v>
      </c>
    </row>
    <row r="44" spans="1:52" ht="13.5" customHeight="1">
      <c r="A44" s="291">
        <v>31526</v>
      </c>
      <c r="B44" s="291">
        <v>42824</v>
      </c>
      <c r="C44" s="292" t="s">
        <v>755</v>
      </c>
      <c r="D44" s="293" t="s">
        <v>164</v>
      </c>
      <c r="E44" s="293" t="str">
        <f t="shared" si="0"/>
        <v>F</v>
      </c>
      <c r="F44" s="293" t="s">
        <v>126</v>
      </c>
      <c r="G44" s="294">
        <v>700</v>
      </c>
      <c r="H44" s="292" t="s">
        <v>97</v>
      </c>
      <c r="I44" s="292" t="s">
        <v>756</v>
      </c>
      <c r="J44" s="293" t="s">
        <v>757</v>
      </c>
      <c r="K44" s="293"/>
      <c r="L44" s="293" t="s">
        <v>1818</v>
      </c>
      <c r="M44" s="293" t="s">
        <v>1801</v>
      </c>
      <c r="N44" s="295">
        <v>1249</v>
      </c>
      <c r="O44" s="296" t="s">
        <v>673</v>
      </c>
      <c r="P44" s="295">
        <v>0</v>
      </c>
      <c r="Q44" s="295">
        <v>0</v>
      </c>
      <c r="R44" s="295">
        <v>-6.46</v>
      </c>
      <c r="S44" s="295">
        <v>1309</v>
      </c>
      <c r="T44" s="295">
        <v>1309</v>
      </c>
      <c r="U44" s="295">
        <v>30</v>
      </c>
      <c r="V44" s="295">
        <v>10</v>
      </c>
      <c r="W44" s="295">
        <v>5.5</v>
      </c>
      <c r="X44" s="295">
        <v>5</v>
      </c>
      <c r="Y44" s="295">
        <v>18</v>
      </c>
      <c r="Z44" s="295">
        <v>0</v>
      </c>
      <c r="AA44" s="295">
        <v>0</v>
      </c>
      <c r="AB44" s="295">
        <v>0</v>
      </c>
      <c r="AC44" s="295">
        <v>0</v>
      </c>
      <c r="AD44" s="295">
        <v>0</v>
      </c>
      <c r="AE44" s="295">
        <v>0</v>
      </c>
      <c r="AF44" s="295">
        <v>0</v>
      </c>
      <c r="AG44" s="295">
        <v>0</v>
      </c>
      <c r="AH44" s="295">
        <v>1377.5</v>
      </c>
      <c r="AI44" s="362"/>
      <c r="AO44" s="313" t="s">
        <v>1743</v>
      </c>
      <c r="AP44" s="329"/>
      <c r="AQ44" s="329">
        <v>4.4925965152571232E-2</v>
      </c>
      <c r="AR44" s="329">
        <v>4.4270169247827652E-2</v>
      </c>
      <c r="AS44" s="329">
        <v>4.3699830128478383E-2</v>
      </c>
      <c r="AT44" s="329">
        <v>4.3791270338636466E-2</v>
      </c>
      <c r="AU44" s="329">
        <v>4.4331221097175313E-2</v>
      </c>
      <c r="AV44" s="329">
        <v>4.5001957915034134E-2</v>
      </c>
      <c r="AW44" s="329">
        <v>4.5870195311218311E-2</v>
      </c>
      <c r="AX44" s="329">
        <v>4.6789578766654988E-2</v>
      </c>
      <c r="AY44" s="329">
        <v>4.7727599625345861E-2</v>
      </c>
      <c r="AZ44" s="330">
        <v>4.8684627371532563E-2</v>
      </c>
    </row>
    <row r="45" spans="1:52" ht="13.5" thickBot="1">
      <c r="A45" s="291">
        <v>0</v>
      </c>
      <c r="B45" s="291">
        <v>0</v>
      </c>
      <c r="C45" s="292" t="s">
        <v>759</v>
      </c>
      <c r="D45" s="293" t="s">
        <v>167</v>
      </c>
      <c r="E45" s="293" t="str">
        <f t="shared" si="0"/>
        <v>Q</v>
      </c>
      <c r="F45" s="293" t="s">
        <v>126</v>
      </c>
      <c r="G45" s="294">
        <v>700</v>
      </c>
      <c r="H45" s="292" t="s">
        <v>101</v>
      </c>
      <c r="I45" s="292" t="s">
        <v>682</v>
      </c>
      <c r="J45" s="293"/>
      <c r="K45" s="293"/>
      <c r="L45" s="293"/>
      <c r="M45" s="293"/>
      <c r="N45" s="295">
        <v>1359</v>
      </c>
      <c r="O45" s="296"/>
      <c r="P45" s="295">
        <v>0</v>
      </c>
      <c r="Q45" s="295">
        <v>0</v>
      </c>
      <c r="R45" s="295">
        <v>0</v>
      </c>
      <c r="S45" s="295">
        <v>0</v>
      </c>
      <c r="T45" s="295">
        <v>0</v>
      </c>
      <c r="U45" s="295">
        <v>0</v>
      </c>
      <c r="V45" s="295">
        <v>0</v>
      </c>
      <c r="W45" s="295">
        <v>0</v>
      </c>
      <c r="X45" s="295">
        <v>0</v>
      </c>
      <c r="Y45" s="295">
        <v>0</v>
      </c>
      <c r="Z45" s="295">
        <v>0</v>
      </c>
      <c r="AA45" s="295">
        <v>0</v>
      </c>
      <c r="AB45" s="295">
        <v>0</v>
      </c>
      <c r="AC45" s="295">
        <v>0</v>
      </c>
      <c r="AD45" s="295">
        <v>0</v>
      </c>
      <c r="AE45" s="295">
        <v>0</v>
      </c>
      <c r="AF45" s="295">
        <v>0</v>
      </c>
      <c r="AG45" s="295">
        <v>0</v>
      </c>
      <c r="AH45" s="295">
        <v>0</v>
      </c>
      <c r="AI45" s="362"/>
      <c r="AO45" s="314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2"/>
    </row>
    <row r="46" spans="1:52" ht="13.5" thickTop="1">
      <c r="A46" s="291">
        <v>31830</v>
      </c>
      <c r="B46" s="291">
        <v>43138</v>
      </c>
      <c r="C46" s="292" t="s">
        <v>761</v>
      </c>
      <c r="D46" s="293" t="s">
        <v>167</v>
      </c>
      <c r="E46" s="293" t="str">
        <f t="shared" si="0"/>
        <v>Q</v>
      </c>
      <c r="F46" s="293" t="s">
        <v>126</v>
      </c>
      <c r="G46" s="294">
        <v>700</v>
      </c>
      <c r="H46" s="292" t="s">
        <v>97</v>
      </c>
      <c r="I46" s="292" t="s">
        <v>762</v>
      </c>
      <c r="J46" s="293" t="s">
        <v>367</v>
      </c>
      <c r="K46" s="293"/>
      <c r="L46" s="293" t="s">
        <v>2073</v>
      </c>
      <c r="M46" s="293" t="s">
        <v>2081</v>
      </c>
      <c r="N46" s="295">
        <v>1329</v>
      </c>
      <c r="O46" s="296" t="s">
        <v>673</v>
      </c>
      <c r="P46" s="295">
        <v>0</v>
      </c>
      <c r="Q46" s="295">
        <v>0</v>
      </c>
      <c r="R46" s="295">
        <v>0</v>
      </c>
      <c r="S46" s="295">
        <v>1349</v>
      </c>
      <c r="T46" s="295">
        <v>1349</v>
      </c>
      <c r="U46" s="295">
        <v>30</v>
      </c>
      <c r="V46" s="295">
        <v>10</v>
      </c>
      <c r="W46" s="295">
        <v>5.5</v>
      </c>
      <c r="X46" s="295">
        <v>5</v>
      </c>
      <c r="Y46" s="295">
        <v>18</v>
      </c>
      <c r="Z46" s="295">
        <v>0</v>
      </c>
      <c r="AA46" s="295">
        <v>0</v>
      </c>
      <c r="AB46" s="295">
        <v>35</v>
      </c>
      <c r="AC46" s="295">
        <v>0</v>
      </c>
      <c r="AD46" s="295">
        <v>0</v>
      </c>
      <c r="AE46" s="295">
        <v>0</v>
      </c>
      <c r="AF46" s="295">
        <v>0</v>
      </c>
      <c r="AG46" s="295">
        <v>0</v>
      </c>
      <c r="AH46" s="295">
        <v>1452.5</v>
      </c>
      <c r="AI46" s="362"/>
      <c r="AO46" s="312" t="s">
        <v>1744</v>
      </c>
      <c r="AP46" s="333">
        <v>6439622.9144899957</v>
      </c>
      <c r="AQ46" s="333">
        <v>6039057.2409949359</v>
      </c>
      <c r="AR46" s="333">
        <v>6385692.2575625731</v>
      </c>
      <c r="AS46" s="333">
        <v>6873147.5089766644</v>
      </c>
      <c r="AT46" s="333">
        <v>7242540.9707232136</v>
      </c>
      <c r="AU46" s="333">
        <v>7525853.4535613991</v>
      </c>
      <c r="AV46" s="333">
        <v>7790530.6047970252</v>
      </c>
      <c r="AW46" s="333">
        <v>8019396.4667893816</v>
      </c>
      <c r="AX46" s="333">
        <v>8246399.416127786</v>
      </c>
      <c r="AY46" s="333">
        <v>8479439.3553536646</v>
      </c>
      <c r="AZ46" s="334">
        <v>8718665.5677795</v>
      </c>
    </row>
    <row r="47" spans="1:52" ht="13.5" customHeight="1">
      <c r="A47" s="291">
        <v>32088</v>
      </c>
      <c r="B47" s="291">
        <v>43121</v>
      </c>
      <c r="C47" s="292" t="s">
        <v>763</v>
      </c>
      <c r="D47" s="293" t="s">
        <v>164</v>
      </c>
      <c r="E47" s="293" t="str">
        <f t="shared" si="0"/>
        <v>F</v>
      </c>
      <c r="F47" s="293" t="s">
        <v>126</v>
      </c>
      <c r="G47" s="294">
        <v>700</v>
      </c>
      <c r="H47" s="292" t="s">
        <v>97</v>
      </c>
      <c r="I47" s="292" t="s">
        <v>2087</v>
      </c>
      <c r="J47" s="293" t="s">
        <v>482</v>
      </c>
      <c r="K47" s="293"/>
      <c r="L47" s="293" t="s">
        <v>482</v>
      </c>
      <c r="M47" s="293" t="s">
        <v>1944</v>
      </c>
      <c r="N47" s="295">
        <v>1249</v>
      </c>
      <c r="O47" s="296" t="s">
        <v>673</v>
      </c>
      <c r="P47" s="295">
        <v>0</v>
      </c>
      <c r="Q47" s="295">
        <v>0</v>
      </c>
      <c r="R47" s="295">
        <v>0</v>
      </c>
      <c r="S47" s="295">
        <v>1179</v>
      </c>
      <c r="T47" s="295">
        <v>1179</v>
      </c>
      <c r="U47" s="295">
        <v>30</v>
      </c>
      <c r="V47" s="295">
        <v>10</v>
      </c>
      <c r="W47" s="295">
        <v>5.5</v>
      </c>
      <c r="X47" s="295">
        <v>5</v>
      </c>
      <c r="Y47" s="295">
        <v>0</v>
      </c>
      <c r="Z47" s="295">
        <v>0</v>
      </c>
      <c r="AA47" s="295">
        <v>0</v>
      </c>
      <c r="AB47" s="295">
        <v>0</v>
      </c>
      <c r="AC47" s="295">
        <v>0</v>
      </c>
      <c r="AD47" s="295">
        <v>0</v>
      </c>
      <c r="AE47" s="295">
        <v>0</v>
      </c>
      <c r="AF47" s="295">
        <v>0</v>
      </c>
      <c r="AG47" s="295">
        <v>0</v>
      </c>
      <c r="AH47" s="295">
        <v>1229.5</v>
      </c>
      <c r="AI47" s="362"/>
    </row>
    <row r="48" spans="1:52" ht="13.5" customHeight="1">
      <c r="A48" s="291">
        <v>31591</v>
      </c>
      <c r="B48" s="291">
        <v>42875</v>
      </c>
      <c r="C48" s="292" t="s">
        <v>764</v>
      </c>
      <c r="D48" s="293" t="s">
        <v>281</v>
      </c>
      <c r="E48" s="293" t="str">
        <f t="shared" si="0"/>
        <v>G</v>
      </c>
      <c r="F48" s="293" t="s">
        <v>126</v>
      </c>
      <c r="G48" s="294">
        <v>700</v>
      </c>
      <c r="H48" s="292" t="s">
        <v>97</v>
      </c>
      <c r="I48" s="292" t="s">
        <v>765</v>
      </c>
      <c r="J48" s="293" t="s">
        <v>404</v>
      </c>
      <c r="K48" s="293"/>
      <c r="L48" s="293" t="s">
        <v>1555</v>
      </c>
      <c r="M48" s="293" t="s">
        <v>1835</v>
      </c>
      <c r="N48" s="295">
        <v>1319</v>
      </c>
      <c r="O48" s="296" t="s">
        <v>673</v>
      </c>
      <c r="P48" s="295">
        <v>0</v>
      </c>
      <c r="Q48" s="295">
        <v>0</v>
      </c>
      <c r="R48" s="295">
        <v>-1515.37</v>
      </c>
      <c r="S48" s="295">
        <v>1379</v>
      </c>
      <c r="T48" s="295">
        <v>1379</v>
      </c>
      <c r="U48" s="295">
        <v>30</v>
      </c>
      <c r="V48" s="295">
        <v>10</v>
      </c>
      <c r="W48" s="295">
        <v>5.5</v>
      </c>
      <c r="X48" s="295">
        <v>5</v>
      </c>
      <c r="Y48" s="295">
        <v>0</v>
      </c>
      <c r="Z48" s="295">
        <v>0</v>
      </c>
      <c r="AA48" s="295">
        <v>0</v>
      </c>
      <c r="AB48" s="295">
        <v>35</v>
      </c>
      <c r="AC48" s="295">
        <v>0</v>
      </c>
      <c r="AD48" s="295">
        <v>0</v>
      </c>
      <c r="AE48" s="295">
        <v>0</v>
      </c>
      <c r="AF48" s="295">
        <v>0</v>
      </c>
      <c r="AG48" s="295">
        <v>0</v>
      </c>
      <c r="AH48" s="295">
        <v>1464.5</v>
      </c>
      <c r="AI48" s="362"/>
    </row>
    <row r="49" spans="1:35" ht="13.5" customHeight="1">
      <c r="A49" s="291">
        <v>31748</v>
      </c>
      <c r="B49" s="291">
        <v>43023</v>
      </c>
      <c r="C49" s="292" t="s">
        <v>766</v>
      </c>
      <c r="D49" s="293" t="s">
        <v>167</v>
      </c>
      <c r="E49" s="293" t="str">
        <f t="shared" si="0"/>
        <v>Q</v>
      </c>
      <c r="F49" s="293" t="s">
        <v>126</v>
      </c>
      <c r="G49" s="294">
        <v>700</v>
      </c>
      <c r="H49" s="292" t="s">
        <v>97</v>
      </c>
      <c r="I49" s="292" t="s">
        <v>1168</v>
      </c>
      <c r="J49" s="293" t="s">
        <v>830</v>
      </c>
      <c r="K49" s="293"/>
      <c r="L49" s="293" t="s">
        <v>830</v>
      </c>
      <c r="M49" s="293" t="s">
        <v>1939</v>
      </c>
      <c r="N49" s="295">
        <v>1359</v>
      </c>
      <c r="O49" s="296" t="s">
        <v>673</v>
      </c>
      <c r="P49" s="295">
        <v>0</v>
      </c>
      <c r="Q49" s="295">
        <v>0</v>
      </c>
      <c r="R49" s="295">
        <v>0</v>
      </c>
      <c r="S49" s="295">
        <v>1389</v>
      </c>
      <c r="T49" s="295">
        <v>1389</v>
      </c>
      <c r="U49" s="295">
        <v>30</v>
      </c>
      <c r="V49" s="295">
        <v>10</v>
      </c>
      <c r="W49" s="295">
        <v>5.5</v>
      </c>
      <c r="X49" s="295">
        <v>5</v>
      </c>
      <c r="Y49" s="295">
        <v>18</v>
      </c>
      <c r="Z49" s="295">
        <v>15</v>
      </c>
      <c r="AA49" s="295">
        <v>0</v>
      </c>
      <c r="AB49" s="295">
        <v>70</v>
      </c>
      <c r="AC49" s="295">
        <v>0</v>
      </c>
      <c r="AD49" s="295">
        <v>0</v>
      </c>
      <c r="AE49" s="295">
        <v>0</v>
      </c>
      <c r="AF49" s="295">
        <v>0</v>
      </c>
      <c r="AG49" s="295">
        <v>0</v>
      </c>
      <c r="AH49" s="295">
        <v>1542.5</v>
      </c>
      <c r="AI49" s="362"/>
    </row>
    <row r="50" spans="1:35" ht="13.5" customHeight="1">
      <c r="A50" s="291">
        <v>10886</v>
      </c>
      <c r="B50" s="291">
        <v>43089</v>
      </c>
      <c r="C50" s="292" t="s">
        <v>767</v>
      </c>
      <c r="D50" s="293" t="s">
        <v>164</v>
      </c>
      <c r="E50" s="293" t="str">
        <f t="shared" si="0"/>
        <v>F</v>
      </c>
      <c r="F50" s="293" t="s">
        <v>126</v>
      </c>
      <c r="G50" s="294">
        <v>700</v>
      </c>
      <c r="H50" s="292" t="s">
        <v>97</v>
      </c>
      <c r="I50" s="292" t="s">
        <v>768</v>
      </c>
      <c r="J50" s="293" t="s">
        <v>769</v>
      </c>
      <c r="K50" s="293"/>
      <c r="L50" s="293" t="s">
        <v>470</v>
      </c>
      <c r="M50" s="293" t="s">
        <v>2086</v>
      </c>
      <c r="N50" s="295">
        <v>1249</v>
      </c>
      <c r="O50" s="296" t="s">
        <v>673</v>
      </c>
      <c r="P50" s="295">
        <v>0</v>
      </c>
      <c r="Q50" s="295">
        <v>0</v>
      </c>
      <c r="R50" s="295">
        <v>0</v>
      </c>
      <c r="S50" s="295">
        <v>1290</v>
      </c>
      <c r="T50" s="295">
        <v>1290</v>
      </c>
      <c r="U50" s="295">
        <v>30</v>
      </c>
      <c r="V50" s="295">
        <v>10</v>
      </c>
      <c r="W50" s="295">
        <v>5.5</v>
      </c>
      <c r="X50" s="295">
        <v>5</v>
      </c>
      <c r="Y50" s="295">
        <v>18</v>
      </c>
      <c r="Z50" s="295">
        <v>15</v>
      </c>
      <c r="AA50" s="295">
        <v>0</v>
      </c>
      <c r="AB50" s="295">
        <v>35</v>
      </c>
      <c r="AC50" s="295">
        <v>0</v>
      </c>
      <c r="AD50" s="295">
        <v>0</v>
      </c>
      <c r="AE50" s="295">
        <v>0</v>
      </c>
      <c r="AF50" s="295">
        <v>0</v>
      </c>
      <c r="AG50" s="295">
        <v>0</v>
      </c>
      <c r="AH50" s="295">
        <v>1408.5</v>
      </c>
      <c r="AI50" s="362"/>
    </row>
    <row r="51" spans="1:35" ht="13.5" customHeight="1">
      <c r="A51" s="291">
        <v>32021</v>
      </c>
      <c r="B51" s="291">
        <v>42990</v>
      </c>
      <c r="C51" s="292" t="s">
        <v>770</v>
      </c>
      <c r="D51" s="293" t="s">
        <v>167</v>
      </c>
      <c r="E51" s="293" t="str">
        <f t="shared" si="0"/>
        <v>Q</v>
      </c>
      <c r="F51" s="293" t="s">
        <v>126</v>
      </c>
      <c r="G51" s="294">
        <v>700</v>
      </c>
      <c r="H51" s="292" t="s">
        <v>97</v>
      </c>
      <c r="I51" s="292" t="s">
        <v>1945</v>
      </c>
      <c r="J51" s="293" t="s">
        <v>452</v>
      </c>
      <c r="K51" s="293"/>
      <c r="L51" s="293" t="s">
        <v>452</v>
      </c>
      <c r="M51" s="293" t="s">
        <v>1941</v>
      </c>
      <c r="N51" s="295">
        <v>1359</v>
      </c>
      <c r="O51" s="296" t="s">
        <v>673</v>
      </c>
      <c r="P51" s="295">
        <v>0</v>
      </c>
      <c r="Q51" s="295">
        <v>0</v>
      </c>
      <c r="R51" s="295">
        <v>0</v>
      </c>
      <c r="S51" s="295">
        <v>1389</v>
      </c>
      <c r="T51" s="295">
        <v>1389</v>
      </c>
      <c r="U51" s="295">
        <v>30</v>
      </c>
      <c r="V51" s="295">
        <v>10</v>
      </c>
      <c r="W51" s="295">
        <v>5.5</v>
      </c>
      <c r="X51" s="295">
        <v>5</v>
      </c>
      <c r="Y51" s="295">
        <v>18</v>
      </c>
      <c r="Z51" s="295">
        <v>0</v>
      </c>
      <c r="AA51" s="295">
        <v>0</v>
      </c>
      <c r="AB51" s="295">
        <v>35</v>
      </c>
      <c r="AC51" s="295">
        <v>0</v>
      </c>
      <c r="AD51" s="295">
        <v>0</v>
      </c>
      <c r="AE51" s="295">
        <v>0</v>
      </c>
      <c r="AF51" s="295">
        <v>0</v>
      </c>
      <c r="AG51" s="295">
        <v>0</v>
      </c>
      <c r="AH51" s="295">
        <v>1492.5</v>
      </c>
      <c r="AI51" s="362"/>
    </row>
    <row r="52" spans="1:35" ht="13.5" customHeight="1">
      <c r="A52" s="291">
        <v>31910</v>
      </c>
      <c r="B52" s="291">
        <v>42779</v>
      </c>
      <c r="C52" s="292" t="s">
        <v>772</v>
      </c>
      <c r="D52" s="293" t="s">
        <v>164</v>
      </c>
      <c r="E52" s="293" t="str">
        <f t="shared" si="0"/>
        <v>F</v>
      </c>
      <c r="F52" s="293" t="s">
        <v>126</v>
      </c>
      <c r="G52" s="294">
        <v>700</v>
      </c>
      <c r="H52" s="292" t="s">
        <v>97</v>
      </c>
      <c r="I52" s="292" t="s">
        <v>1819</v>
      </c>
      <c r="J52" s="293" t="s">
        <v>1820</v>
      </c>
      <c r="K52" s="293"/>
      <c r="L52" s="293" t="s">
        <v>1820</v>
      </c>
      <c r="M52" s="293" t="s">
        <v>1821</v>
      </c>
      <c r="N52" s="295">
        <v>1249</v>
      </c>
      <c r="O52" s="296" t="s">
        <v>673</v>
      </c>
      <c r="P52" s="295">
        <v>0</v>
      </c>
      <c r="Q52" s="295">
        <v>0</v>
      </c>
      <c r="R52" s="295">
        <v>-713</v>
      </c>
      <c r="S52" s="295">
        <v>1279</v>
      </c>
      <c r="T52" s="295">
        <v>1279</v>
      </c>
      <c r="U52" s="295">
        <v>30</v>
      </c>
      <c r="V52" s="295">
        <v>10</v>
      </c>
      <c r="W52" s="295">
        <v>5.5</v>
      </c>
      <c r="X52" s="295">
        <v>5</v>
      </c>
      <c r="Y52" s="295">
        <v>18</v>
      </c>
      <c r="Z52" s="295">
        <v>15</v>
      </c>
      <c r="AA52" s="295">
        <v>0</v>
      </c>
      <c r="AB52" s="295">
        <v>0</v>
      </c>
      <c r="AC52" s="295">
        <v>0</v>
      </c>
      <c r="AD52" s="295">
        <v>0</v>
      </c>
      <c r="AE52" s="295">
        <v>0</v>
      </c>
      <c r="AF52" s="295">
        <v>0</v>
      </c>
      <c r="AG52" s="295">
        <v>0</v>
      </c>
      <c r="AH52" s="295">
        <v>1362.5</v>
      </c>
      <c r="AI52" s="362"/>
    </row>
    <row r="53" spans="1:35" ht="13.5" customHeight="1">
      <c r="A53" s="291">
        <v>11166</v>
      </c>
      <c r="B53" s="291">
        <v>42887</v>
      </c>
      <c r="C53" s="292" t="s">
        <v>775</v>
      </c>
      <c r="D53" s="293" t="s">
        <v>281</v>
      </c>
      <c r="E53" s="293" t="str">
        <f t="shared" si="0"/>
        <v>G</v>
      </c>
      <c r="F53" s="293" t="s">
        <v>126</v>
      </c>
      <c r="G53" s="294">
        <v>700</v>
      </c>
      <c r="H53" s="292" t="s">
        <v>97</v>
      </c>
      <c r="I53" s="292" t="s">
        <v>776</v>
      </c>
      <c r="J53" s="293" t="s">
        <v>777</v>
      </c>
      <c r="K53" s="293"/>
      <c r="L53" s="293" t="s">
        <v>398</v>
      </c>
      <c r="M53" s="293" t="s">
        <v>1822</v>
      </c>
      <c r="N53" s="295">
        <v>1319</v>
      </c>
      <c r="O53" s="296" t="s">
        <v>673</v>
      </c>
      <c r="P53" s="295">
        <v>0</v>
      </c>
      <c r="Q53" s="295">
        <v>0</v>
      </c>
      <c r="R53" s="295">
        <v>-1511.49</v>
      </c>
      <c r="S53" s="295">
        <v>1389</v>
      </c>
      <c r="T53" s="295">
        <v>1389</v>
      </c>
      <c r="U53" s="295">
        <v>30</v>
      </c>
      <c r="V53" s="295">
        <v>10</v>
      </c>
      <c r="W53" s="295">
        <v>5.5</v>
      </c>
      <c r="X53" s="295">
        <v>5</v>
      </c>
      <c r="Y53" s="295">
        <v>18</v>
      </c>
      <c r="Z53" s="295">
        <v>15</v>
      </c>
      <c r="AA53" s="295">
        <v>0</v>
      </c>
      <c r="AB53" s="295">
        <v>0</v>
      </c>
      <c r="AC53" s="295">
        <v>0</v>
      </c>
      <c r="AD53" s="295">
        <v>0</v>
      </c>
      <c r="AE53" s="295">
        <v>0</v>
      </c>
      <c r="AF53" s="295">
        <v>0</v>
      </c>
      <c r="AG53" s="295">
        <v>0</v>
      </c>
      <c r="AH53" s="295">
        <v>1472.5</v>
      </c>
      <c r="AI53" s="362"/>
    </row>
    <row r="54" spans="1:35" ht="13.5" customHeight="1">
      <c r="A54" s="291">
        <v>32065</v>
      </c>
      <c r="B54" s="291">
        <v>43090</v>
      </c>
      <c r="C54" s="292" t="s">
        <v>778</v>
      </c>
      <c r="D54" s="293" t="s">
        <v>281</v>
      </c>
      <c r="E54" s="293" t="str">
        <f t="shared" si="0"/>
        <v>G</v>
      </c>
      <c r="F54" s="293" t="s">
        <v>126</v>
      </c>
      <c r="G54" s="294">
        <v>700</v>
      </c>
      <c r="H54" s="292" t="s">
        <v>97</v>
      </c>
      <c r="I54" s="292" t="s">
        <v>1946</v>
      </c>
      <c r="J54" s="293" t="s">
        <v>1947</v>
      </c>
      <c r="K54" s="293"/>
      <c r="L54" s="293" t="s">
        <v>1947</v>
      </c>
      <c r="M54" s="293" t="s">
        <v>1948</v>
      </c>
      <c r="N54" s="295">
        <v>1319</v>
      </c>
      <c r="O54" s="296" t="s">
        <v>673</v>
      </c>
      <c r="P54" s="295">
        <v>0</v>
      </c>
      <c r="Q54" s="295">
        <v>0</v>
      </c>
      <c r="R54" s="295">
        <v>0</v>
      </c>
      <c r="S54" s="295">
        <v>1249</v>
      </c>
      <c r="T54" s="295">
        <v>1249</v>
      </c>
      <c r="U54" s="295">
        <v>30</v>
      </c>
      <c r="V54" s="295">
        <v>10</v>
      </c>
      <c r="W54" s="295">
        <v>5.5</v>
      </c>
      <c r="X54" s="295">
        <v>5</v>
      </c>
      <c r="Y54" s="295">
        <v>18</v>
      </c>
      <c r="Z54" s="295">
        <v>15</v>
      </c>
      <c r="AA54" s="295">
        <v>0</v>
      </c>
      <c r="AB54" s="295">
        <v>0</v>
      </c>
      <c r="AC54" s="295">
        <v>0</v>
      </c>
      <c r="AD54" s="295">
        <v>0</v>
      </c>
      <c r="AE54" s="295">
        <v>0</v>
      </c>
      <c r="AF54" s="295">
        <v>0</v>
      </c>
      <c r="AG54" s="295">
        <v>0</v>
      </c>
      <c r="AH54" s="295">
        <v>1332.5</v>
      </c>
      <c r="AI54" s="362"/>
    </row>
    <row r="55" spans="1:35" ht="13.5" customHeight="1">
      <c r="A55" s="291">
        <v>31945</v>
      </c>
      <c r="B55" s="291">
        <v>42851</v>
      </c>
      <c r="C55" s="292" t="s">
        <v>779</v>
      </c>
      <c r="D55" s="293" t="s">
        <v>167</v>
      </c>
      <c r="E55" s="293" t="str">
        <f t="shared" si="0"/>
        <v>Q</v>
      </c>
      <c r="F55" s="293" t="s">
        <v>126</v>
      </c>
      <c r="G55" s="294">
        <v>700</v>
      </c>
      <c r="H55" s="292" t="s">
        <v>97</v>
      </c>
      <c r="I55" s="292" t="s">
        <v>1823</v>
      </c>
      <c r="J55" s="293" t="s">
        <v>388</v>
      </c>
      <c r="K55" s="293"/>
      <c r="L55" s="293" t="s">
        <v>388</v>
      </c>
      <c r="M55" s="293" t="s">
        <v>1793</v>
      </c>
      <c r="N55" s="295">
        <v>1359</v>
      </c>
      <c r="O55" s="296" t="s">
        <v>673</v>
      </c>
      <c r="P55" s="295">
        <v>0</v>
      </c>
      <c r="Q55" s="295">
        <v>0</v>
      </c>
      <c r="R55" s="295">
        <v>-1420.37</v>
      </c>
      <c r="S55" s="295">
        <v>1319</v>
      </c>
      <c r="T55" s="295">
        <v>1319</v>
      </c>
      <c r="U55" s="295">
        <v>30</v>
      </c>
      <c r="V55" s="295">
        <v>10</v>
      </c>
      <c r="W55" s="295">
        <v>5.5</v>
      </c>
      <c r="X55" s="295">
        <v>5</v>
      </c>
      <c r="Y55" s="295">
        <v>0</v>
      </c>
      <c r="Z55" s="295">
        <v>0</v>
      </c>
      <c r="AA55" s="295">
        <v>0</v>
      </c>
      <c r="AB55" s="295">
        <v>0</v>
      </c>
      <c r="AC55" s="295">
        <v>0</v>
      </c>
      <c r="AD55" s="295">
        <v>0</v>
      </c>
      <c r="AE55" s="295">
        <v>0</v>
      </c>
      <c r="AF55" s="295">
        <v>0</v>
      </c>
      <c r="AG55" s="295">
        <v>0</v>
      </c>
      <c r="AH55" s="295">
        <v>1369.5</v>
      </c>
      <c r="AI55" s="362"/>
    </row>
    <row r="56" spans="1:35" ht="13.5" customHeight="1">
      <c r="A56" s="291">
        <v>11042</v>
      </c>
      <c r="B56" s="291">
        <v>42690</v>
      </c>
      <c r="C56" s="292" t="s">
        <v>780</v>
      </c>
      <c r="D56" s="293" t="s">
        <v>281</v>
      </c>
      <c r="E56" s="293" t="str">
        <f t="shared" si="0"/>
        <v>G</v>
      </c>
      <c r="F56" s="293" t="s">
        <v>126</v>
      </c>
      <c r="G56" s="294">
        <v>700</v>
      </c>
      <c r="H56" s="292" t="s">
        <v>142</v>
      </c>
      <c r="I56" s="292" t="s">
        <v>781</v>
      </c>
      <c r="J56" s="293" t="s">
        <v>782</v>
      </c>
      <c r="K56" s="293" t="s">
        <v>527</v>
      </c>
      <c r="L56" s="293" t="s">
        <v>395</v>
      </c>
      <c r="M56" s="293" t="s">
        <v>527</v>
      </c>
      <c r="N56" s="295">
        <v>1319</v>
      </c>
      <c r="O56" s="296" t="s">
        <v>673</v>
      </c>
      <c r="P56" s="295">
        <v>0</v>
      </c>
      <c r="Q56" s="295">
        <v>0</v>
      </c>
      <c r="R56" s="295">
        <v>0</v>
      </c>
      <c r="S56" s="295">
        <v>1370</v>
      </c>
      <c r="T56" s="295">
        <v>1370</v>
      </c>
      <c r="U56" s="295">
        <v>30</v>
      </c>
      <c r="V56" s="295">
        <v>10</v>
      </c>
      <c r="W56" s="295">
        <v>5.5</v>
      </c>
      <c r="X56" s="295">
        <v>5</v>
      </c>
      <c r="Y56" s="295">
        <v>18</v>
      </c>
      <c r="Z56" s="295">
        <v>15</v>
      </c>
      <c r="AA56" s="295">
        <v>0</v>
      </c>
      <c r="AB56" s="295">
        <v>0</v>
      </c>
      <c r="AC56" s="295">
        <v>0</v>
      </c>
      <c r="AD56" s="295">
        <v>0</v>
      </c>
      <c r="AE56" s="295">
        <v>0</v>
      </c>
      <c r="AF56" s="295">
        <v>0</v>
      </c>
      <c r="AG56" s="295">
        <v>0</v>
      </c>
      <c r="AH56" s="295">
        <v>1453.5</v>
      </c>
      <c r="AI56" s="362"/>
    </row>
    <row r="57" spans="1:35" ht="13.5" customHeight="1">
      <c r="A57" s="291">
        <v>31907</v>
      </c>
      <c r="B57" s="291">
        <v>42770</v>
      </c>
      <c r="C57" s="292" t="s">
        <v>783</v>
      </c>
      <c r="D57" s="293" t="s">
        <v>281</v>
      </c>
      <c r="E57" s="293" t="str">
        <f t="shared" si="0"/>
        <v>G</v>
      </c>
      <c r="F57" s="293" t="s">
        <v>126</v>
      </c>
      <c r="G57" s="294">
        <v>700</v>
      </c>
      <c r="H57" s="292" t="s">
        <v>97</v>
      </c>
      <c r="I57" s="292" t="s">
        <v>1824</v>
      </c>
      <c r="J57" s="293" t="s">
        <v>785</v>
      </c>
      <c r="K57" s="293"/>
      <c r="L57" s="293" t="s">
        <v>785</v>
      </c>
      <c r="M57" s="293" t="s">
        <v>1825</v>
      </c>
      <c r="N57" s="295">
        <v>1319</v>
      </c>
      <c r="O57" s="296" t="s">
        <v>673</v>
      </c>
      <c r="P57" s="295">
        <v>0</v>
      </c>
      <c r="Q57" s="295">
        <v>0</v>
      </c>
      <c r="R57" s="295">
        <v>0</v>
      </c>
      <c r="S57" s="295">
        <v>1349</v>
      </c>
      <c r="T57" s="295">
        <v>1349</v>
      </c>
      <c r="U57" s="295">
        <v>30</v>
      </c>
      <c r="V57" s="295">
        <v>10</v>
      </c>
      <c r="W57" s="295">
        <v>5.5</v>
      </c>
      <c r="X57" s="295">
        <v>5</v>
      </c>
      <c r="Y57" s="295">
        <v>18</v>
      </c>
      <c r="Z57" s="295">
        <v>0</v>
      </c>
      <c r="AA57" s="295">
        <v>0</v>
      </c>
      <c r="AB57" s="295">
        <v>0</v>
      </c>
      <c r="AC57" s="295">
        <v>0</v>
      </c>
      <c r="AD57" s="295">
        <v>0</v>
      </c>
      <c r="AE57" s="295">
        <v>0</v>
      </c>
      <c r="AF57" s="295">
        <v>0</v>
      </c>
      <c r="AG57" s="295">
        <v>0</v>
      </c>
      <c r="AH57" s="295">
        <v>1417.5</v>
      </c>
      <c r="AI57" s="362"/>
    </row>
    <row r="58" spans="1:35" ht="13.5" customHeight="1">
      <c r="A58" s="291">
        <v>11140</v>
      </c>
      <c r="B58" s="291">
        <v>42866</v>
      </c>
      <c r="C58" s="292" t="s">
        <v>786</v>
      </c>
      <c r="D58" s="293" t="s">
        <v>167</v>
      </c>
      <c r="E58" s="293" t="str">
        <f t="shared" si="0"/>
        <v>Q</v>
      </c>
      <c r="F58" s="293" t="s">
        <v>126</v>
      </c>
      <c r="G58" s="294">
        <v>700</v>
      </c>
      <c r="H58" s="292" t="s">
        <v>97</v>
      </c>
      <c r="I58" s="292" t="s">
        <v>787</v>
      </c>
      <c r="J58" s="293" t="s">
        <v>788</v>
      </c>
      <c r="K58" s="293"/>
      <c r="L58" s="293" t="s">
        <v>1826</v>
      </c>
      <c r="M58" s="293" t="s">
        <v>1792</v>
      </c>
      <c r="N58" s="295">
        <v>1359</v>
      </c>
      <c r="O58" s="296" t="s">
        <v>673</v>
      </c>
      <c r="P58" s="295">
        <v>0</v>
      </c>
      <c r="Q58" s="295">
        <v>0</v>
      </c>
      <c r="R58" s="295">
        <v>0</v>
      </c>
      <c r="S58" s="295">
        <v>1439</v>
      </c>
      <c r="T58" s="295">
        <v>1439</v>
      </c>
      <c r="U58" s="295">
        <v>30</v>
      </c>
      <c r="V58" s="295">
        <v>10</v>
      </c>
      <c r="W58" s="295">
        <v>5.5</v>
      </c>
      <c r="X58" s="295">
        <v>5</v>
      </c>
      <c r="Y58" s="295">
        <v>0</v>
      </c>
      <c r="Z58" s="295">
        <v>15</v>
      </c>
      <c r="AA58" s="295">
        <v>0</v>
      </c>
      <c r="AB58" s="295">
        <v>0</v>
      </c>
      <c r="AC58" s="295">
        <v>0</v>
      </c>
      <c r="AD58" s="295">
        <v>0</v>
      </c>
      <c r="AE58" s="295">
        <v>0</v>
      </c>
      <c r="AF58" s="295">
        <v>0</v>
      </c>
      <c r="AG58" s="295">
        <v>0</v>
      </c>
      <c r="AH58" s="295">
        <v>1504.5</v>
      </c>
      <c r="AI58" s="362"/>
    </row>
    <row r="59" spans="1:35" ht="13.5" customHeight="1">
      <c r="A59" s="291">
        <v>32124</v>
      </c>
      <c r="B59" s="291">
        <v>43186</v>
      </c>
      <c r="C59" s="292" t="s">
        <v>790</v>
      </c>
      <c r="D59" s="293" t="s">
        <v>167</v>
      </c>
      <c r="E59" s="293" t="str">
        <f t="shared" si="0"/>
        <v>Q</v>
      </c>
      <c r="F59" s="293" t="s">
        <v>126</v>
      </c>
      <c r="G59" s="294">
        <v>700</v>
      </c>
      <c r="H59" s="292" t="s">
        <v>97</v>
      </c>
      <c r="I59" s="292" t="s">
        <v>2088</v>
      </c>
      <c r="J59" s="293" t="s">
        <v>443</v>
      </c>
      <c r="K59" s="293"/>
      <c r="L59" s="293" t="s">
        <v>443</v>
      </c>
      <c r="M59" s="293" t="s">
        <v>2089</v>
      </c>
      <c r="N59" s="295">
        <v>1359</v>
      </c>
      <c r="O59" s="296" t="s">
        <v>673</v>
      </c>
      <c r="P59" s="295">
        <v>0</v>
      </c>
      <c r="Q59" s="295">
        <v>0</v>
      </c>
      <c r="R59" s="295">
        <v>0</v>
      </c>
      <c r="S59" s="295">
        <v>1129</v>
      </c>
      <c r="T59" s="295">
        <v>1129</v>
      </c>
      <c r="U59" s="295">
        <v>30</v>
      </c>
      <c r="V59" s="295">
        <v>10</v>
      </c>
      <c r="W59" s="295">
        <v>5.5</v>
      </c>
      <c r="X59" s="295">
        <v>5</v>
      </c>
      <c r="Y59" s="295">
        <v>18</v>
      </c>
      <c r="Z59" s="295">
        <v>0</v>
      </c>
      <c r="AA59" s="295">
        <v>70</v>
      </c>
      <c r="AB59" s="295">
        <v>0</v>
      </c>
      <c r="AC59" s="295">
        <v>200</v>
      </c>
      <c r="AD59" s="295">
        <v>0</v>
      </c>
      <c r="AE59" s="295">
        <v>0</v>
      </c>
      <c r="AF59" s="295">
        <v>0</v>
      </c>
      <c r="AG59" s="295">
        <v>0</v>
      </c>
      <c r="AH59" s="295">
        <v>1467.5</v>
      </c>
      <c r="AI59" s="362"/>
    </row>
    <row r="60" spans="1:35" ht="13.5" customHeight="1">
      <c r="A60" s="291">
        <v>32054</v>
      </c>
      <c r="B60" s="291">
        <v>43068</v>
      </c>
      <c r="C60" s="292" t="s">
        <v>792</v>
      </c>
      <c r="D60" s="293" t="s">
        <v>164</v>
      </c>
      <c r="E60" s="293" t="str">
        <f t="shared" si="0"/>
        <v>F</v>
      </c>
      <c r="F60" s="293" t="s">
        <v>126</v>
      </c>
      <c r="G60" s="294">
        <v>700</v>
      </c>
      <c r="H60" s="292" t="s">
        <v>97</v>
      </c>
      <c r="I60" s="292" t="s">
        <v>1949</v>
      </c>
      <c r="J60" s="293" t="s">
        <v>539</v>
      </c>
      <c r="K60" s="293"/>
      <c r="L60" s="293" t="s">
        <v>539</v>
      </c>
      <c r="M60" s="293" t="s">
        <v>1937</v>
      </c>
      <c r="N60" s="295">
        <v>1249</v>
      </c>
      <c r="O60" s="296" t="s">
        <v>673</v>
      </c>
      <c r="P60" s="295">
        <v>0</v>
      </c>
      <c r="Q60" s="295">
        <v>0</v>
      </c>
      <c r="R60" s="295">
        <v>0</v>
      </c>
      <c r="S60" s="295">
        <v>1059</v>
      </c>
      <c r="T60" s="295">
        <v>1059</v>
      </c>
      <c r="U60" s="295">
        <v>30</v>
      </c>
      <c r="V60" s="295">
        <v>10</v>
      </c>
      <c r="W60" s="295">
        <v>5.5</v>
      </c>
      <c r="X60" s="295">
        <v>5</v>
      </c>
      <c r="Y60" s="295">
        <v>18</v>
      </c>
      <c r="Z60" s="295">
        <v>0</v>
      </c>
      <c r="AA60" s="295">
        <v>0</v>
      </c>
      <c r="AB60" s="295">
        <v>0</v>
      </c>
      <c r="AC60" s="295">
        <v>0</v>
      </c>
      <c r="AD60" s="295">
        <v>0</v>
      </c>
      <c r="AE60" s="295">
        <v>0</v>
      </c>
      <c r="AF60" s="295">
        <v>0</v>
      </c>
      <c r="AG60" s="295">
        <v>0</v>
      </c>
      <c r="AH60" s="295">
        <v>1127.5</v>
      </c>
      <c r="AI60" s="362"/>
    </row>
    <row r="61" spans="1:35" ht="13.5" customHeight="1">
      <c r="A61" s="291">
        <v>21393</v>
      </c>
      <c r="B61" s="291">
        <v>43180</v>
      </c>
      <c r="C61" s="292" t="s">
        <v>793</v>
      </c>
      <c r="D61" s="293" t="s">
        <v>164</v>
      </c>
      <c r="E61" s="293" t="str">
        <f t="shared" si="0"/>
        <v>F</v>
      </c>
      <c r="F61" s="293" t="s">
        <v>126</v>
      </c>
      <c r="G61" s="294">
        <v>700</v>
      </c>
      <c r="H61" s="292" t="s">
        <v>97</v>
      </c>
      <c r="I61" s="292" t="s">
        <v>794</v>
      </c>
      <c r="J61" s="293" t="s">
        <v>795</v>
      </c>
      <c r="K61" s="293"/>
      <c r="L61" s="293" t="s">
        <v>1568</v>
      </c>
      <c r="M61" s="293" t="s">
        <v>1957</v>
      </c>
      <c r="N61" s="295">
        <v>1249</v>
      </c>
      <c r="O61" s="296" t="s">
        <v>673</v>
      </c>
      <c r="P61" s="295">
        <v>0</v>
      </c>
      <c r="Q61" s="295">
        <v>0</v>
      </c>
      <c r="R61" s="295">
        <v>0</v>
      </c>
      <c r="S61" s="295">
        <v>1248</v>
      </c>
      <c r="T61" s="295">
        <v>1248</v>
      </c>
      <c r="U61" s="295">
        <v>30</v>
      </c>
      <c r="V61" s="295">
        <v>10</v>
      </c>
      <c r="W61" s="295">
        <v>5.5</v>
      </c>
      <c r="X61" s="295">
        <v>5</v>
      </c>
      <c r="Y61" s="295">
        <v>18</v>
      </c>
      <c r="Z61" s="295">
        <v>0</v>
      </c>
      <c r="AA61" s="295">
        <v>0</v>
      </c>
      <c r="AB61" s="295">
        <v>0</v>
      </c>
      <c r="AC61" s="295">
        <v>0</v>
      </c>
      <c r="AD61" s="295">
        <v>0</v>
      </c>
      <c r="AE61" s="295">
        <v>0</v>
      </c>
      <c r="AF61" s="295">
        <v>0</v>
      </c>
      <c r="AG61" s="295">
        <v>0</v>
      </c>
      <c r="AH61" s="295">
        <v>1316.5</v>
      </c>
      <c r="AI61" s="362"/>
    </row>
    <row r="62" spans="1:35" ht="13.5" customHeight="1">
      <c r="A62" s="291">
        <v>31903</v>
      </c>
      <c r="B62" s="291">
        <v>42761</v>
      </c>
      <c r="C62" s="292" t="s">
        <v>796</v>
      </c>
      <c r="D62" s="293" t="s">
        <v>164</v>
      </c>
      <c r="E62" s="293" t="str">
        <f t="shared" si="0"/>
        <v>F</v>
      </c>
      <c r="F62" s="293" t="s">
        <v>126</v>
      </c>
      <c r="G62" s="294">
        <v>700</v>
      </c>
      <c r="H62" s="292" t="s">
        <v>97</v>
      </c>
      <c r="I62" s="292" t="s">
        <v>1827</v>
      </c>
      <c r="J62" s="293" t="s">
        <v>1828</v>
      </c>
      <c r="K62" s="293"/>
      <c r="L62" s="293" t="s">
        <v>1828</v>
      </c>
      <c r="M62" s="293" t="s">
        <v>1795</v>
      </c>
      <c r="N62" s="295">
        <v>1249</v>
      </c>
      <c r="O62" s="296" t="s">
        <v>673</v>
      </c>
      <c r="P62" s="295">
        <v>0</v>
      </c>
      <c r="Q62" s="295">
        <v>0</v>
      </c>
      <c r="R62" s="295">
        <v>-1386.49</v>
      </c>
      <c r="S62" s="295">
        <v>1279</v>
      </c>
      <c r="T62" s="295">
        <v>1279</v>
      </c>
      <c r="U62" s="295">
        <v>30</v>
      </c>
      <c r="V62" s="295">
        <v>10</v>
      </c>
      <c r="W62" s="295">
        <v>5.5</v>
      </c>
      <c r="X62" s="295">
        <v>5</v>
      </c>
      <c r="Y62" s="295">
        <v>18</v>
      </c>
      <c r="Z62" s="295">
        <v>0</v>
      </c>
      <c r="AA62" s="295">
        <v>0</v>
      </c>
      <c r="AB62" s="295">
        <v>0</v>
      </c>
      <c r="AC62" s="295">
        <v>0</v>
      </c>
      <c r="AD62" s="295">
        <v>0</v>
      </c>
      <c r="AE62" s="295">
        <v>0</v>
      </c>
      <c r="AF62" s="295">
        <v>0</v>
      </c>
      <c r="AG62" s="295">
        <v>0</v>
      </c>
      <c r="AH62" s="295">
        <v>1347.5</v>
      </c>
      <c r="AI62" s="362"/>
    </row>
    <row r="63" spans="1:35" ht="13.5" customHeight="1">
      <c r="A63" s="291">
        <v>622</v>
      </c>
      <c r="B63" s="291">
        <v>10688</v>
      </c>
      <c r="C63" s="292" t="s">
        <v>797</v>
      </c>
      <c r="D63" s="293" t="s">
        <v>180</v>
      </c>
      <c r="E63" s="293" t="str">
        <f t="shared" si="0"/>
        <v>Q</v>
      </c>
      <c r="F63" s="293" t="s">
        <v>126</v>
      </c>
      <c r="G63" s="294">
        <v>825</v>
      </c>
      <c r="H63" s="292" t="s">
        <v>97</v>
      </c>
      <c r="I63" s="292" t="s">
        <v>798</v>
      </c>
      <c r="J63" s="293" t="s">
        <v>799</v>
      </c>
      <c r="K63" s="293"/>
      <c r="L63" s="293" t="s">
        <v>799</v>
      </c>
      <c r="M63" s="293" t="s">
        <v>800</v>
      </c>
      <c r="N63" s="295">
        <v>1419</v>
      </c>
      <c r="O63" s="296" t="s">
        <v>673</v>
      </c>
      <c r="P63" s="295">
        <v>0</v>
      </c>
      <c r="Q63" s="295">
        <v>0</v>
      </c>
      <c r="R63" s="295">
        <v>0</v>
      </c>
      <c r="S63" s="295">
        <v>1690</v>
      </c>
      <c r="T63" s="295">
        <v>1690</v>
      </c>
      <c r="U63" s="295">
        <v>30</v>
      </c>
      <c r="V63" s="295">
        <v>10</v>
      </c>
      <c r="W63" s="295">
        <v>5.5</v>
      </c>
      <c r="X63" s="295">
        <v>5</v>
      </c>
      <c r="Y63" s="295">
        <v>18</v>
      </c>
      <c r="Z63" s="295">
        <v>0</v>
      </c>
      <c r="AA63" s="295">
        <v>0</v>
      </c>
      <c r="AB63" s="295">
        <v>0</v>
      </c>
      <c r="AC63" s="295">
        <v>0</v>
      </c>
      <c r="AD63" s="295">
        <v>250</v>
      </c>
      <c r="AE63" s="295">
        <v>0</v>
      </c>
      <c r="AF63" s="295">
        <v>0</v>
      </c>
      <c r="AG63" s="295">
        <v>0</v>
      </c>
      <c r="AH63" s="295">
        <v>2008.5</v>
      </c>
      <c r="AI63" s="362"/>
    </row>
    <row r="64" spans="1:35" ht="13.5" customHeight="1">
      <c r="A64" s="291">
        <v>31939</v>
      </c>
      <c r="B64" s="291">
        <v>42841</v>
      </c>
      <c r="C64" s="292" t="s">
        <v>801</v>
      </c>
      <c r="D64" s="293" t="s">
        <v>691</v>
      </c>
      <c r="E64" s="293" t="str">
        <f t="shared" si="0"/>
        <v>G</v>
      </c>
      <c r="F64" s="293" t="s">
        <v>126</v>
      </c>
      <c r="G64" s="294">
        <v>825</v>
      </c>
      <c r="H64" s="292" t="s">
        <v>97</v>
      </c>
      <c r="I64" s="292" t="s">
        <v>1829</v>
      </c>
      <c r="J64" s="293" t="s">
        <v>429</v>
      </c>
      <c r="K64" s="293"/>
      <c r="L64" s="293" t="s">
        <v>429</v>
      </c>
      <c r="M64" s="293" t="s">
        <v>1808</v>
      </c>
      <c r="N64" s="295">
        <v>1379</v>
      </c>
      <c r="O64" s="296" t="s">
        <v>673</v>
      </c>
      <c r="P64" s="295">
        <v>0</v>
      </c>
      <c r="Q64" s="295">
        <v>0</v>
      </c>
      <c r="R64" s="295">
        <v>3867.33</v>
      </c>
      <c r="S64" s="295">
        <v>1329</v>
      </c>
      <c r="T64" s="295">
        <v>1329</v>
      </c>
      <c r="U64" s="295">
        <v>30</v>
      </c>
      <c r="V64" s="295">
        <v>10</v>
      </c>
      <c r="W64" s="295">
        <v>5.5</v>
      </c>
      <c r="X64" s="295">
        <v>5</v>
      </c>
      <c r="Y64" s="295">
        <v>18</v>
      </c>
      <c r="Z64" s="295">
        <v>0</v>
      </c>
      <c r="AA64" s="295">
        <v>0</v>
      </c>
      <c r="AB64" s="295">
        <v>0</v>
      </c>
      <c r="AC64" s="295">
        <v>0</v>
      </c>
      <c r="AD64" s="295">
        <v>0</v>
      </c>
      <c r="AE64" s="295">
        <v>0</v>
      </c>
      <c r="AF64" s="295">
        <v>0</v>
      </c>
      <c r="AG64" s="295">
        <v>0</v>
      </c>
      <c r="AH64" s="295">
        <v>1397.5</v>
      </c>
      <c r="AI64" s="362"/>
    </row>
    <row r="65" spans="1:35" ht="13.5" customHeight="1">
      <c r="A65" s="291">
        <v>31586</v>
      </c>
      <c r="B65" s="291">
        <v>42847</v>
      </c>
      <c r="C65" s="292" t="s">
        <v>802</v>
      </c>
      <c r="D65" s="293" t="s">
        <v>691</v>
      </c>
      <c r="E65" s="293" t="str">
        <f t="shared" si="0"/>
        <v>G</v>
      </c>
      <c r="F65" s="293" t="s">
        <v>126</v>
      </c>
      <c r="G65" s="294">
        <v>825</v>
      </c>
      <c r="H65" s="292" t="s">
        <v>97</v>
      </c>
      <c r="I65" s="292" t="s">
        <v>803</v>
      </c>
      <c r="J65" s="293" t="s">
        <v>804</v>
      </c>
      <c r="K65" s="293"/>
      <c r="L65" s="293" t="s">
        <v>401</v>
      </c>
      <c r="M65" s="293" t="s">
        <v>1815</v>
      </c>
      <c r="N65" s="295">
        <v>1379</v>
      </c>
      <c r="O65" s="296" t="s">
        <v>673</v>
      </c>
      <c r="P65" s="295">
        <v>0</v>
      </c>
      <c r="Q65" s="295">
        <v>0</v>
      </c>
      <c r="R65" s="295">
        <v>0</v>
      </c>
      <c r="S65" s="295">
        <v>1439</v>
      </c>
      <c r="T65" s="295">
        <v>1439</v>
      </c>
      <c r="U65" s="295">
        <v>30</v>
      </c>
      <c r="V65" s="295">
        <v>10</v>
      </c>
      <c r="W65" s="295">
        <v>5.5</v>
      </c>
      <c r="X65" s="295">
        <v>5</v>
      </c>
      <c r="Y65" s="295">
        <v>18</v>
      </c>
      <c r="Z65" s="295">
        <v>15</v>
      </c>
      <c r="AA65" s="295">
        <v>0</v>
      </c>
      <c r="AB65" s="295">
        <v>0</v>
      </c>
      <c r="AC65" s="295">
        <v>0</v>
      </c>
      <c r="AD65" s="295">
        <v>0</v>
      </c>
      <c r="AE65" s="295">
        <v>0</v>
      </c>
      <c r="AF65" s="295">
        <v>0</v>
      </c>
      <c r="AG65" s="295">
        <v>0</v>
      </c>
      <c r="AH65" s="295">
        <v>1522.5</v>
      </c>
      <c r="AI65" s="362"/>
    </row>
    <row r="66" spans="1:35" ht="13.5" customHeight="1">
      <c r="A66" s="291">
        <v>31964</v>
      </c>
      <c r="B66" s="291">
        <v>42889</v>
      </c>
      <c r="C66" s="292" t="s">
        <v>805</v>
      </c>
      <c r="D66" s="293" t="s">
        <v>180</v>
      </c>
      <c r="E66" s="293" t="str">
        <f t="shared" si="0"/>
        <v>Q</v>
      </c>
      <c r="F66" s="293" t="s">
        <v>126</v>
      </c>
      <c r="G66" s="294">
        <v>825</v>
      </c>
      <c r="H66" s="292" t="s">
        <v>97</v>
      </c>
      <c r="I66" s="292" t="s">
        <v>1830</v>
      </c>
      <c r="J66" s="293" t="s">
        <v>1324</v>
      </c>
      <c r="K66" s="293"/>
      <c r="L66" s="293" t="s">
        <v>1324</v>
      </c>
      <c r="M66" s="293" t="s">
        <v>1831</v>
      </c>
      <c r="N66" s="295">
        <v>1419</v>
      </c>
      <c r="O66" s="296" t="s">
        <v>673</v>
      </c>
      <c r="P66" s="295">
        <v>0</v>
      </c>
      <c r="Q66" s="295">
        <v>0</v>
      </c>
      <c r="R66" s="295">
        <v>1986.41</v>
      </c>
      <c r="S66" s="295">
        <v>1369</v>
      </c>
      <c r="T66" s="295">
        <v>1369</v>
      </c>
      <c r="U66" s="295">
        <v>30</v>
      </c>
      <c r="V66" s="295">
        <v>10</v>
      </c>
      <c r="W66" s="295">
        <v>5.5</v>
      </c>
      <c r="X66" s="295">
        <v>5</v>
      </c>
      <c r="Y66" s="295">
        <v>18</v>
      </c>
      <c r="Z66" s="295">
        <v>0</v>
      </c>
      <c r="AA66" s="295">
        <v>0</v>
      </c>
      <c r="AB66" s="295">
        <v>0</v>
      </c>
      <c r="AC66" s="295">
        <v>0</v>
      </c>
      <c r="AD66" s="295">
        <v>0</v>
      </c>
      <c r="AE66" s="295">
        <v>0</v>
      </c>
      <c r="AF66" s="295">
        <v>0</v>
      </c>
      <c r="AG66" s="295">
        <v>0</v>
      </c>
      <c r="AH66" s="295">
        <v>1437.5</v>
      </c>
      <c r="AI66" s="362"/>
    </row>
    <row r="67" spans="1:35" ht="13.5" customHeight="1">
      <c r="A67" s="291">
        <v>32028</v>
      </c>
      <c r="B67" s="291">
        <v>42999</v>
      </c>
      <c r="C67" s="292" t="s">
        <v>806</v>
      </c>
      <c r="D67" s="293" t="s">
        <v>171</v>
      </c>
      <c r="E67" s="293" t="str">
        <f t="shared" si="0"/>
        <v>F</v>
      </c>
      <c r="F67" s="293" t="s">
        <v>126</v>
      </c>
      <c r="G67" s="294">
        <v>825</v>
      </c>
      <c r="H67" s="292" t="s">
        <v>97</v>
      </c>
      <c r="I67" s="292" t="s">
        <v>1950</v>
      </c>
      <c r="J67" s="293" t="s">
        <v>450</v>
      </c>
      <c r="K67" s="293"/>
      <c r="L67" s="293" t="s">
        <v>450</v>
      </c>
      <c r="M67" s="293" t="s">
        <v>1951</v>
      </c>
      <c r="N67" s="295">
        <v>1309</v>
      </c>
      <c r="O67" s="296" t="s">
        <v>673</v>
      </c>
      <c r="P67" s="295">
        <v>0</v>
      </c>
      <c r="Q67" s="295">
        <v>0</v>
      </c>
      <c r="R67" s="295">
        <v>-1449.04</v>
      </c>
      <c r="S67" s="295">
        <v>1339</v>
      </c>
      <c r="T67" s="295">
        <v>1339</v>
      </c>
      <c r="U67" s="295">
        <v>30</v>
      </c>
      <c r="V67" s="295">
        <v>10</v>
      </c>
      <c r="W67" s="295">
        <v>5.5</v>
      </c>
      <c r="X67" s="295">
        <v>5</v>
      </c>
      <c r="Y67" s="295">
        <v>18</v>
      </c>
      <c r="Z67" s="295">
        <v>0</v>
      </c>
      <c r="AA67" s="295">
        <v>0</v>
      </c>
      <c r="AB67" s="295">
        <v>0</v>
      </c>
      <c r="AC67" s="295">
        <v>0</v>
      </c>
      <c r="AD67" s="295">
        <v>0</v>
      </c>
      <c r="AE67" s="295">
        <v>0</v>
      </c>
      <c r="AF67" s="295">
        <v>0</v>
      </c>
      <c r="AG67" s="295">
        <v>0</v>
      </c>
      <c r="AH67" s="295">
        <v>1407.5</v>
      </c>
      <c r="AI67" s="362"/>
    </row>
    <row r="68" spans="1:35" ht="13.5" customHeight="1">
      <c r="A68" s="291">
        <v>31784</v>
      </c>
      <c r="B68" s="291">
        <v>43063</v>
      </c>
      <c r="C68" s="292" t="s">
        <v>807</v>
      </c>
      <c r="D68" s="293" t="s">
        <v>691</v>
      </c>
      <c r="E68" s="293" t="str">
        <f t="shared" si="0"/>
        <v>G</v>
      </c>
      <c r="F68" s="293" t="s">
        <v>126</v>
      </c>
      <c r="G68" s="294">
        <v>825</v>
      </c>
      <c r="H68" s="292" t="s">
        <v>97</v>
      </c>
      <c r="I68" s="292" t="s">
        <v>808</v>
      </c>
      <c r="J68" s="293" t="s">
        <v>496</v>
      </c>
      <c r="K68" s="293"/>
      <c r="L68" s="293" t="s">
        <v>457</v>
      </c>
      <c r="M68" s="293" t="s">
        <v>2090</v>
      </c>
      <c r="N68" s="295">
        <v>1379</v>
      </c>
      <c r="O68" s="296" t="s">
        <v>673</v>
      </c>
      <c r="P68" s="295">
        <v>0</v>
      </c>
      <c r="Q68" s="295">
        <v>0</v>
      </c>
      <c r="R68" s="295">
        <v>0</v>
      </c>
      <c r="S68" s="295">
        <v>1409</v>
      </c>
      <c r="T68" s="295">
        <v>1409</v>
      </c>
      <c r="U68" s="295">
        <v>30</v>
      </c>
      <c r="V68" s="295">
        <v>10</v>
      </c>
      <c r="W68" s="295">
        <v>5.5</v>
      </c>
      <c r="X68" s="295">
        <v>5</v>
      </c>
      <c r="Y68" s="295">
        <v>18</v>
      </c>
      <c r="Z68" s="295">
        <v>15</v>
      </c>
      <c r="AA68" s="295">
        <v>0</v>
      </c>
      <c r="AB68" s="295">
        <v>0</v>
      </c>
      <c r="AC68" s="295">
        <v>0</v>
      </c>
      <c r="AD68" s="295">
        <v>0</v>
      </c>
      <c r="AE68" s="295">
        <v>0</v>
      </c>
      <c r="AF68" s="295">
        <v>0</v>
      </c>
      <c r="AG68" s="295">
        <v>0</v>
      </c>
      <c r="AH68" s="295">
        <v>1492.5</v>
      </c>
      <c r="AI68" s="362"/>
    </row>
    <row r="69" spans="1:35" ht="13.5" customHeight="1">
      <c r="A69" s="291">
        <v>31587</v>
      </c>
      <c r="B69" s="291">
        <v>42882</v>
      </c>
      <c r="C69" s="292" t="s">
        <v>809</v>
      </c>
      <c r="D69" s="293" t="s">
        <v>691</v>
      </c>
      <c r="E69" s="293" t="str">
        <f t="shared" si="0"/>
        <v>G</v>
      </c>
      <c r="F69" s="293" t="s">
        <v>126</v>
      </c>
      <c r="G69" s="294">
        <v>825</v>
      </c>
      <c r="H69" s="292" t="s">
        <v>97</v>
      </c>
      <c r="I69" s="292" t="s">
        <v>810</v>
      </c>
      <c r="J69" s="293" t="s">
        <v>334</v>
      </c>
      <c r="K69" s="293"/>
      <c r="L69" s="293" t="s">
        <v>1832</v>
      </c>
      <c r="M69" s="293" t="s">
        <v>1833</v>
      </c>
      <c r="N69" s="295">
        <v>1379</v>
      </c>
      <c r="O69" s="296" t="s">
        <v>673</v>
      </c>
      <c r="P69" s="295">
        <v>0</v>
      </c>
      <c r="Q69" s="295">
        <v>0</v>
      </c>
      <c r="R69" s="295">
        <v>-1549.04</v>
      </c>
      <c r="S69" s="295">
        <v>1439</v>
      </c>
      <c r="T69" s="295">
        <v>1439</v>
      </c>
      <c r="U69" s="295">
        <v>30</v>
      </c>
      <c r="V69" s="295">
        <v>10</v>
      </c>
      <c r="W69" s="295">
        <v>5.5</v>
      </c>
      <c r="X69" s="295">
        <v>5</v>
      </c>
      <c r="Y69" s="295">
        <v>18</v>
      </c>
      <c r="Z69" s="295">
        <v>0</v>
      </c>
      <c r="AA69" s="295">
        <v>0</v>
      </c>
      <c r="AB69" s="295">
        <v>0</v>
      </c>
      <c r="AC69" s="295">
        <v>0</v>
      </c>
      <c r="AD69" s="295">
        <v>0</v>
      </c>
      <c r="AE69" s="295">
        <v>0</v>
      </c>
      <c r="AF69" s="295">
        <v>0</v>
      </c>
      <c r="AG69" s="295">
        <v>0</v>
      </c>
      <c r="AH69" s="295">
        <v>1507.5</v>
      </c>
      <c r="AI69" s="362"/>
    </row>
    <row r="70" spans="1:35" ht="13.5" customHeight="1">
      <c r="A70" s="291">
        <v>31639</v>
      </c>
      <c r="B70" s="291">
        <v>43009</v>
      </c>
      <c r="C70" s="292" t="s">
        <v>812</v>
      </c>
      <c r="D70" s="293" t="s">
        <v>171</v>
      </c>
      <c r="E70" s="293" t="str">
        <f t="shared" si="0"/>
        <v>F</v>
      </c>
      <c r="F70" s="293" t="s">
        <v>126</v>
      </c>
      <c r="G70" s="294">
        <v>825</v>
      </c>
      <c r="H70" s="292" t="s">
        <v>97</v>
      </c>
      <c r="I70" s="292" t="s">
        <v>813</v>
      </c>
      <c r="J70" s="293" t="s">
        <v>434</v>
      </c>
      <c r="K70" s="293"/>
      <c r="L70" s="293" t="s">
        <v>1020</v>
      </c>
      <c r="M70" s="293" t="s">
        <v>1952</v>
      </c>
      <c r="N70" s="295">
        <v>1309</v>
      </c>
      <c r="O70" s="296" t="s">
        <v>673</v>
      </c>
      <c r="P70" s="295">
        <v>0</v>
      </c>
      <c r="Q70" s="295">
        <v>0</v>
      </c>
      <c r="R70" s="295">
        <v>-1421.04</v>
      </c>
      <c r="S70" s="295">
        <v>1329</v>
      </c>
      <c r="T70" s="295">
        <v>1329</v>
      </c>
      <c r="U70" s="295">
        <v>30</v>
      </c>
      <c r="V70" s="295">
        <v>10</v>
      </c>
      <c r="W70" s="295">
        <v>5.5</v>
      </c>
      <c r="X70" s="295">
        <v>5</v>
      </c>
      <c r="Y70" s="295">
        <v>0</v>
      </c>
      <c r="Z70" s="295">
        <v>0</v>
      </c>
      <c r="AA70" s="295">
        <v>0</v>
      </c>
      <c r="AB70" s="295">
        <v>0</v>
      </c>
      <c r="AC70" s="295">
        <v>0</v>
      </c>
      <c r="AD70" s="295">
        <v>0</v>
      </c>
      <c r="AE70" s="295">
        <v>0</v>
      </c>
      <c r="AF70" s="295">
        <v>0</v>
      </c>
      <c r="AG70" s="295">
        <v>0</v>
      </c>
      <c r="AH70" s="295">
        <v>1379.5</v>
      </c>
      <c r="AI70" s="362"/>
    </row>
    <row r="71" spans="1:35" ht="13.5" customHeight="1">
      <c r="A71" s="291">
        <v>31524</v>
      </c>
      <c r="B71" s="291">
        <v>42149</v>
      </c>
      <c r="C71" s="292" t="s">
        <v>814</v>
      </c>
      <c r="D71" s="293" t="s">
        <v>147</v>
      </c>
      <c r="E71" s="293" t="str">
        <f t="shared" si="0"/>
        <v>Q</v>
      </c>
      <c r="F71" s="293" t="s">
        <v>126</v>
      </c>
      <c r="G71" s="294">
        <v>1076</v>
      </c>
      <c r="H71" s="292" t="s">
        <v>97</v>
      </c>
      <c r="I71" s="292" t="s">
        <v>815</v>
      </c>
      <c r="J71" s="293" t="s">
        <v>428</v>
      </c>
      <c r="K71" s="293"/>
      <c r="L71" s="293" t="s">
        <v>428</v>
      </c>
      <c r="M71" s="293" t="s">
        <v>390</v>
      </c>
      <c r="N71" s="295">
        <v>1629</v>
      </c>
      <c r="O71" s="296" t="s">
        <v>673</v>
      </c>
      <c r="P71" s="295">
        <v>0</v>
      </c>
      <c r="Q71" s="295">
        <v>0</v>
      </c>
      <c r="R71" s="295">
        <v>0</v>
      </c>
      <c r="S71" s="295">
        <v>1689</v>
      </c>
      <c r="T71" s="295">
        <v>1689</v>
      </c>
      <c r="U71" s="295">
        <v>30</v>
      </c>
      <c r="V71" s="295">
        <v>10</v>
      </c>
      <c r="W71" s="295">
        <v>5.5</v>
      </c>
      <c r="X71" s="295">
        <v>5</v>
      </c>
      <c r="Y71" s="295">
        <v>18</v>
      </c>
      <c r="Z71" s="295">
        <v>0</v>
      </c>
      <c r="AA71" s="295">
        <v>0</v>
      </c>
      <c r="AB71" s="295">
        <v>0</v>
      </c>
      <c r="AC71" s="295">
        <v>0</v>
      </c>
      <c r="AD71" s="295">
        <v>250</v>
      </c>
      <c r="AE71" s="295">
        <v>0</v>
      </c>
      <c r="AF71" s="295">
        <v>0</v>
      </c>
      <c r="AG71" s="295">
        <v>0</v>
      </c>
      <c r="AH71" s="295">
        <v>2007.5</v>
      </c>
      <c r="AI71" s="362"/>
    </row>
    <row r="72" spans="1:35" ht="13.5" customHeight="1">
      <c r="A72" s="291">
        <v>32136</v>
      </c>
      <c r="B72" s="291">
        <v>43205</v>
      </c>
      <c r="C72" s="292" t="s">
        <v>816</v>
      </c>
      <c r="D72" s="293" t="s">
        <v>147</v>
      </c>
      <c r="E72" s="293" t="str">
        <f t="shared" ref="E72:E135" si="1">RIGHT(D72,1)</f>
        <v>Q</v>
      </c>
      <c r="F72" s="293" t="s">
        <v>126</v>
      </c>
      <c r="G72" s="294">
        <v>1076</v>
      </c>
      <c r="H72" s="292" t="s">
        <v>97</v>
      </c>
      <c r="I72" s="292" t="s">
        <v>2091</v>
      </c>
      <c r="J72" s="293" t="s">
        <v>2092</v>
      </c>
      <c r="K72" s="293"/>
      <c r="L72" s="293" t="s">
        <v>2092</v>
      </c>
      <c r="M72" s="293" t="s">
        <v>2093</v>
      </c>
      <c r="N72" s="295">
        <v>1629</v>
      </c>
      <c r="O72" s="296" t="s">
        <v>673</v>
      </c>
      <c r="P72" s="295">
        <v>0</v>
      </c>
      <c r="Q72" s="295">
        <v>0</v>
      </c>
      <c r="R72" s="295">
        <v>0</v>
      </c>
      <c r="S72" s="295">
        <v>1629</v>
      </c>
      <c r="T72" s="295">
        <v>1629</v>
      </c>
      <c r="U72" s="295">
        <v>30</v>
      </c>
      <c r="V72" s="295">
        <v>10</v>
      </c>
      <c r="W72" s="295">
        <v>5.5</v>
      </c>
      <c r="X72" s="295">
        <v>5</v>
      </c>
      <c r="Y72" s="295">
        <v>18</v>
      </c>
      <c r="Z72" s="295">
        <v>0</v>
      </c>
      <c r="AA72" s="295">
        <v>0</v>
      </c>
      <c r="AB72" s="295">
        <v>0</v>
      </c>
      <c r="AC72" s="295">
        <v>0</v>
      </c>
      <c r="AD72" s="295">
        <v>0</v>
      </c>
      <c r="AE72" s="295">
        <v>0</v>
      </c>
      <c r="AF72" s="295">
        <v>0</v>
      </c>
      <c r="AG72" s="295">
        <v>0</v>
      </c>
      <c r="AH72" s="295">
        <v>1697.5</v>
      </c>
      <c r="AI72" s="362"/>
    </row>
    <row r="73" spans="1:35" ht="13.5" customHeight="1">
      <c r="A73" s="291">
        <v>31625</v>
      </c>
      <c r="B73" s="291">
        <v>42998</v>
      </c>
      <c r="C73" s="292" t="s">
        <v>819</v>
      </c>
      <c r="D73" s="293" t="s">
        <v>677</v>
      </c>
      <c r="E73" s="293" t="str">
        <f t="shared" si="1"/>
        <v>G</v>
      </c>
      <c r="F73" s="293" t="s">
        <v>126</v>
      </c>
      <c r="G73" s="294">
        <v>1076</v>
      </c>
      <c r="H73" s="292" t="s">
        <v>97</v>
      </c>
      <c r="I73" s="292" t="s">
        <v>1457</v>
      </c>
      <c r="J73" s="293" t="s">
        <v>1953</v>
      </c>
      <c r="K73" s="293"/>
      <c r="L73" s="293" t="s">
        <v>1953</v>
      </c>
      <c r="M73" s="293" t="s">
        <v>1954</v>
      </c>
      <c r="N73" s="295">
        <v>1609</v>
      </c>
      <c r="O73" s="296" t="s">
        <v>673</v>
      </c>
      <c r="P73" s="295">
        <v>0</v>
      </c>
      <c r="Q73" s="295">
        <v>0</v>
      </c>
      <c r="R73" s="295">
        <v>0</v>
      </c>
      <c r="S73" s="295">
        <v>1639</v>
      </c>
      <c r="T73" s="295">
        <v>1639</v>
      </c>
      <c r="U73" s="295">
        <v>30</v>
      </c>
      <c r="V73" s="295">
        <v>10</v>
      </c>
      <c r="W73" s="295">
        <v>5.5</v>
      </c>
      <c r="X73" s="295">
        <v>5</v>
      </c>
      <c r="Y73" s="295">
        <v>18</v>
      </c>
      <c r="Z73" s="295">
        <v>0</v>
      </c>
      <c r="AA73" s="295">
        <v>0</v>
      </c>
      <c r="AB73" s="295">
        <v>0</v>
      </c>
      <c r="AC73" s="295">
        <v>0</v>
      </c>
      <c r="AD73" s="295">
        <v>0</v>
      </c>
      <c r="AE73" s="295">
        <v>0</v>
      </c>
      <c r="AF73" s="295">
        <v>0</v>
      </c>
      <c r="AG73" s="295">
        <v>0</v>
      </c>
      <c r="AH73" s="295">
        <v>1707.5</v>
      </c>
      <c r="AI73" s="362"/>
    </row>
    <row r="74" spans="1:35" ht="13.5" customHeight="1">
      <c r="A74" s="291">
        <v>31894</v>
      </c>
      <c r="B74" s="291">
        <v>42747</v>
      </c>
      <c r="C74" s="292" t="s">
        <v>820</v>
      </c>
      <c r="D74" s="293" t="s">
        <v>147</v>
      </c>
      <c r="E74" s="293" t="str">
        <f t="shared" si="1"/>
        <v>Q</v>
      </c>
      <c r="F74" s="293" t="s">
        <v>126</v>
      </c>
      <c r="G74" s="294">
        <v>1076</v>
      </c>
      <c r="H74" s="292" t="s">
        <v>97</v>
      </c>
      <c r="I74" s="292" t="s">
        <v>821</v>
      </c>
      <c r="J74" s="293" t="s">
        <v>822</v>
      </c>
      <c r="K74" s="293"/>
      <c r="L74" s="293" t="s">
        <v>822</v>
      </c>
      <c r="M74" s="293" t="s">
        <v>522</v>
      </c>
      <c r="N74" s="295">
        <v>1659</v>
      </c>
      <c r="O74" s="296" t="s">
        <v>673</v>
      </c>
      <c r="P74" s="295">
        <v>0</v>
      </c>
      <c r="Q74" s="295">
        <v>0</v>
      </c>
      <c r="R74" s="295">
        <v>0</v>
      </c>
      <c r="S74" s="295">
        <v>1639</v>
      </c>
      <c r="T74" s="295">
        <v>1639</v>
      </c>
      <c r="U74" s="295">
        <v>30</v>
      </c>
      <c r="V74" s="295">
        <v>10</v>
      </c>
      <c r="W74" s="295">
        <v>5.5</v>
      </c>
      <c r="X74" s="295">
        <v>5</v>
      </c>
      <c r="Y74" s="295">
        <v>18</v>
      </c>
      <c r="Z74" s="295">
        <v>0</v>
      </c>
      <c r="AA74" s="295">
        <v>0</v>
      </c>
      <c r="AB74" s="295">
        <v>0</v>
      </c>
      <c r="AC74" s="295">
        <v>0</v>
      </c>
      <c r="AD74" s="295">
        <v>0</v>
      </c>
      <c r="AE74" s="295">
        <v>0</v>
      </c>
      <c r="AF74" s="295">
        <v>0</v>
      </c>
      <c r="AG74" s="295">
        <v>0</v>
      </c>
      <c r="AH74" s="295">
        <v>1707.5</v>
      </c>
      <c r="AI74" s="362"/>
    </row>
    <row r="75" spans="1:35" ht="12.6" customHeight="1">
      <c r="A75" s="291">
        <v>827</v>
      </c>
      <c r="B75" s="291">
        <v>42950</v>
      </c>
      <c r="C75" s="292" t="s">
        <v>823</v>
      </c>
      <c r="D75" s="293" t="s">
        <v>677</v>
      </c>
      <c r="E75" s="293" t="str">
        <f t="shared" si="1"/>
        <v>G</v>
      </c>
      <c r="F75" s="293" t="s">
        <v>126</v>
      </c>
      <c r="G75" s="294">
        <v>1076</v>
      </c>
      <c r="H75" s="292" t="s">
        <v>142</v>
      </c>
      <c r="I75" s="292" t="s">
        <v>2094</v>
      </c>
      <c r="J75" s="293" t="s">
        <v>824</v>
      </c>
      <c r="K75" s="293" t="s">
        <v>466</v>
      </c>
      <c r="L75" s="293" t="s">
        <v>1955</v>
      </c>
      <c r="M75" s="293" t="s">
        <v>466</v>
      </c>
      <c r="N75" s="295">
        <v>1609</v>
      </c>
      <c r="O75" s="296" t="s">
        <v>673</v>
      </c>
      <c r="P75" s="295">
        <v>0</v>
      </c>
      <c r="Q75" s="295">
        <v>0</v>
      </c>
      <c r="R75" s="295">
        <v>-1801.58</v>
      </c>
      <c r="S75" s="295">
        <v>1780</v>
      </c>
      <c r="T75" s="295">
        <v>1780</v>
      </c>
      <c r="U75" s="295">
        <v>30</v>
      </c>
      <c r="V75" s="295">
        <v>10</v>
      </c>
      <c r="W75" s="295">
        <v>5.5</v>
      </c>
      <c r="X75" s="295">
        <v>5</v>
      </c>
      <c r="Y75" s="295">
        <v>18</v>
      </c>
      <c r="Z75" s="295">
        <v>0</v>
      </c>
      <c r="AA75" s="295">
        <v>0</v>
      </c>
      <c r="AB75" s="295">
        <v>0</v>
      </c>
      <c r="AC75" s="295">
        <v>75</v>
      </c>
      <c r="AD75" s="295">
        <v>0</v>
      </c>
      <c r="AE75" s="295">
        <v>0</v>
      </c>
      <c r="AF75" s="295">
        <v>0</v>
      </c>
      <c r="AG75" s="295">
        <v>0</v>
      </c>
      <c r="AH75" s="295">
        <v>1923.5</v>
      </c>
      <c r="AI75" s="362"/>
    </row>
    <row r="76" spans="1:35" ht="13.5" customHeight="1">
      <c r="A76" s="291">
        <v>803</v>
      </c>
      <c r="B76" s="291">
        <v>42310</v>
      </c>
      <c r="C76" s="292" t="s">
        <v>825</v>
      </c>
      <c r="D76" s="293" t="s">
        <v>147</v>
      </c>
      <c r="E76" s="293" t="str">
        <f t="shared" si="1"/>
        <v>Q</v>
      </c>
      <c r="F76" s="293" t="s">
        <v>126</v>
      </c>
      <c r="G76" s="294">
        <v>1076</v>
      </c>
      <c r="H76" s="292" t="s">
        <v>97</v>
      </c>
      <c r="I76" s="292" t="s">
        <v>826</v>
      </c>
      <c r="J76" s="293" t="s">
        <v>827</v>
      </c>
      <c r="K76" s="293"/>
      <c r="L76" s="293" t="s">
        <v>828</v>
      </c>
      <c r="M76" s="293" t="s">
        <v>408</v>
      </c>
      <c r="N76" s="295">
        <v>1659</v>
      </c>
      <c r="O76" s="296" t="s">
        <v>673</v>
      </c>
      <c r="P76" s="295">
        <v>0</v>
      </c>
      <c r="Q76" s="295">
        <v>0</v>
      </c>
      <c r="R76" s="295">
        <v>0</v>
      </c>
      <c r="S76" s="295">
        <v>1870</v>
      </c>
      <c r="T76" s="295">
        <v>1870</v>
      </c>
      <c r="U76" s="295">
        <v>30</v>
      </c>
      <c r="V76" s="295">
        <v>10</v>
      </c>
      <c r="W76" s="295">
        <v>5.5</v>
      </c>
      <c r="X76" s="295">
        <v>5</v>
      </c>
      <c r="Y76" s="295">
        <v>18</v>
      </c>
      <c r="Z76" s="295">
        <v>0</v>
      </c>
      <c r="AA76" s="295">
        <v>0</v>
      </c>
      <c r="AB76" s="295">
        <v>35</v>
      </c>
      <c r="AC76" s="295">
        <v>0</v>
      </c>
      <c r="AD76" s="295">
        <v>250</v>
      </c>
      <c r="AE76" s="295">
        <v>0</v>
      </c>
      <c r="AF76" s="295">
        <v>0</v>
      </c>
      <c r="AG76" s="295">
        <v>0</v>
      </c>
      <c r="AH76" s="295">
        <v>2223.5</v>
      </c>
      <c r="AI76" s="362"/>
    </row>
    <row r="77" spans="1:35" ht="13.5" customHeight="1">
      <c r="A77" s="291">
        <v>0</v>
      </c>
      <c r="B77" s="291">
        <v>0</v>
      </c>
      <c r="C77" s="292" t="s">
        <v>829</v>
      </c>
      <c r="D77" s="293" t="s">
        <v>153</v>
      </c>
      <c r="E77" s="293" t="str">
        <f t="shared" si="1"/>
        <v>F</v>
      </c>
      <c r="F77" s="293" t="s">
        <v>126</v>
      </c>
      <c r="G77" s="294">
        <v>1076</v>
      </c>
      <c r="H77" s="292" t="s">
        <v>101</v>
      </c>
      <c r="I77" s="292" t="s">
        <v>682</v>
      </c>
      <c r="J77" s="293"/>
      <c r="K77" s="293"/>
      <c r="L77" s="293"/>
      <c r="M77" s="293"/>
      <c r="N77" s="295">
        <v>1509</v>
      </c>
      <c r="O77" s="296"/>
      <c r="P77" s="295">
        <v>0</v>
      </c>
      <c r="Q77" s="295">
        <v>0</v>
      </c>
      <c r="R77" s="295">
        <v>0</v>
      </c>
      <c r="S77" s="295">
        <v>0</v>
      </c>
      <c r="T77" s="295">
        <v>0</v>
      </c>
      <c r="U77" s="295">
        <v>0</v>
      </c>
      <c r="V77" s="295">
        <v>0</v>
      </c>
      <c r="W77" s="295">
        <v>0</v>
      </c>
      <c r="X77" s="295">
        <v>0</v>
      </c>
      <c r="Y77" s="295">
        <v>0</v>
      </c>
      <c r="Z77" s="295">
        <v>0</v>
      </c>
      <c r="AA77" s="295">
        <v>0</v>
      </c>
      <c r="AB77" s="295">
        <v>0</v>
      </c>
      <c r="AC77" s="295">
        <v>0</v>
      </c>
      <c r="AD77" s="295">
        <v>0</v>
      </c>
      <c r="AE77" s="295">
        <v>0</v>
      </c>
      <c r="AF77" s="295">
        <v>0</v>
      </c>
      <c r="AG77" s="295">
        <v>0</v>
      </c>
      <c r="AH77" s="295">
        <v>0</v>
      </c>
      <c r="AI77" s="362"/>
    </row>
    <row r="78" spans="1:35" ht="13.5" customHeight="1">
      <c r="A78" s="291">
        <v>31651</v>
      </c>
      <c r="B78" s="291">
        <v>42946</v>
      </c>
      <c r="C78" s="292" t="s">
        <v>831</v>
      </c>
      <c r="D78" s="293" t="s">
        <v>147</v>
      </c>
      <c r="E78" s="293" t="str">
        <f t="shared" si="1"/>
        <v>Q</v>
      </c>
      <c r="F78" s="293" t="s">
        <v>126</v>
      </c>
      <c r="G78" s="294">
        <v>1076</v>
      </c>
      <c r="H78" s="292" t="s">
        <v>142</v>
      </c>
      <c r="I78" s="292" t="s">
        <v>832</v>
      </c>
      <c r="J78" s="293" t="s">
        <v>451</v>
      </c>
      <c r="K78" s="293" t="s">
        <v>2095</v>
      </c>
      <c r="L78" s="293" t="s">
        <v>1955</v>
      </c>
      <c r="M78" s="293" t="s">
        <v>513</v>
      </c>
      <c r="N78" s="295">
        <v>1659</v>
      </c>
      <c r="O78" s="296" t="s">
        <v>673</v>
      </c>
      <c r="P78" s="295">
        <v>0</v>
      </c>
      <c r="Q78" s="295">
        <v>0</v>
      </c>
      <c r="R78" s="295">
        <v>799.67</v>
      </c>
      <c r="S78" s="295">
        <v>1699</v>
      </c>
      <c r="T78" s="295">
        <v>1699</v>
      </c>
      <c r="U78" s="295">
        <v>30</v>
      </c>
      <c r="V78" s="295">
        <v>10</v>
      </c>
      <c r="W78" s="295">
        <v>5.5</v>
      </c>
      <c r="X78" s="295">
        <v>5</v>
      </c>
      <c r="Y78" s="295">
        <v>18</v>
      </c>
      <c r="Z78" s="295">
        <v>0</v>
      </c>
      <c r="AA78" s="295">
        <v>0</v>
      </c>
      <c r="AB78" s="295">
        <v>0</v>
      </c>
      <c r="AC78" s="295">
        <v>75</v>
      </c>
      <c r="AD78" s="295">
        <v>0</v>
      </c>
      <c r="AE78" s="295">
        <v>0</v>
      </c>
      <c r="AF78" s="295">
        <v>0</v>
      </c>
      <c r="AG78" s="295">
        <v>0</v>
      </c>
      <c r="AH78" s="295">
        <v>1842.5</v>
      </c>
      <c r="AI78" s="362"/>
    </row>
    <row r="79" spans="1:35" ht="13.5" customHeight="1">
      <c r="A79" s="291">
        <v>632</v>
      </c>
      <c r="B79" s="291">
        <v>42636</v>
      </c>
      <c r="C79" s="292" t="s">
        <v>833</v>
      </c>
      <c r="D79" s="293" t="s">
        <v>163</v>
      </c>
      <c r="E79" s="293" t="str">
        <f t="shared" si="1"/>
        <v>F</v>
      </c>
      <c r="F79" s="293" t="s">
        <v>126</v>
      </c>
      <c r="G79" s="294">
        <v>1010</v>
      </c>
      <c r="H79" s="292" t="s">
        <v>97</v>
      </c>
      <c r="I79" s="292" t="s">
        <v>834</v>
      </c>
      <c r="J79" s="293" t="s">
        <v>835</v>
      </c>
      <c r="K79" s="293"/>
      <c r="L79" s="293" t="s">
        <v>836</v>
      </c>
      <c r="M79" s="293" t="s">
        <v>475</v>
      </c>
      <c r="N79" s="295">
        <v>1459</v>
      </c>
      <c r="O79" s="296" t="s">
        <v>673</v>
      </c>
      <c r="P79" s="295">
        <v>0</v>
      </c>
      <c r="Q79" s="295">
        <v>0</v>
      </c>
      <c r="R79" s="295">
        <v>0</v>
      </c>
      <c r="S79" s="295">
        <v>1606</v>
      </c>
      <c r="T79" s="295">
        <v>1606</v>
      </c>
      <c r="U79" s="295">
        <v>30</v>
      </c>
      <c r="V79" s="295">
        <v>10</v>
      </c>
      <c r="W79" s="295">
        <v>5.5</v>
      </c>
      <c r="X79" s="295">
        <v>5</v>
      </c>
      <c r="Y79" s="295">
        <v>18</v>
      </c>
      <c r="Z79" s="295">
        <v>30</v>
      </c>
      <c r="AA79" s="295">
        <v>0</v>
      </c>
      <c r="AB79" s="295">
        <v>35</v>
      </c>
      <c r="AC79" s="295">
        <v>0</v>
      </c>
      <c r="AD79" s="295">
        <v>0</v>
      </c>
      <c r="AE79" s="295">
        <v>0</v>
      </c>
      <c r="AF79" s="295">
        <v>0</v>
      </c>
      <c r="AG79" s="295">
        <v>0</v>
      </c>
      <c r="AH79" s="295">
        <v>1739.5</v>
      </c>
      <c r="AI79" s="362"/>
    </row>
    <row r="80" spans="1:35" ht="13.5" customHeight="1">
      <c r="A80" s="291">
        <v>632</v>
      </c>
      <c r="B80" s="291">
        <v>43297</v>
      </c>
      <c r="C80" s="292" t="s">
        <v>833</v>
      </c>
      <c r="D80" s="293" t="s">
        <v>163</v>
      </c>
      <c r="E80" s="293" t="str">
        <f t="shared" si="1"/>
        <v>F</v>
      </c>
      <c r="F80" s="293" t="s">
        <v>126</v>
      </c>
      <c r="G80" s="294">
        <v>1010</v>
      </c>
      <c r="H80" s="292" t="s">
        <v>2096</v>
      </c>
      <c r="I80" s="292" t="s">
        <v>834</v>
      </c>
      <c r="J80" s="293" t="s">
        <v>835</v>
      </c>
      <c r="K80" s="293"/>
      <c r="L80" s="293" t="s">
        <v>2008</v>
      </c>
      <c r="M80" s="293" t="s">
        <v>2081</v>
      </c>
      <c r="N80" s="295">
        <v>0</v>
      </c>
      <c r="O80" s="296" t="s">
        <v>673</v>
      </c>
      <c r="P80" s="295">
        <v>0</v>
      </c>
      <c r="Q80" s="295">
        <v>0</v>
      </c>
      <c r="R80" s="295">
        <v>0</v>
      </c>
      <c r="S80" s="295">
        <v>1606</v>
      </c>
      <c r="T80" s="295">
        <v>1606</v>
      </c>
      <c r="U80" s="295">
        <v>30</v>
      </c>
      <c r="V80" s="295">
        <v>10</v>
      </c>
      <c r="W80" s="295">
        <v>5.5</v>
      </c>
      <c r="X80" s="295">
        <v>5</v>
      </c>
      <c r="Y80" s="295">
        <v>18</v>
      </c>
      <c r="Z80" s="295">
        <v>0</v>
      </c>
      <c r="AA80" s="295">
        <v>0</v>
      </c>
      <c r="AB80" s="295">
        <v>35</v>
      </c>
      <c r="AC80" s="295">
        <v>0</v>
      </c>
      <c r="AD80" s="295">
        <v>0</v>
      </c>
      <c r="AE80" s="295">
        <v>0</v>
      </c>
      <c r="AF80" s="295">
        <v>0</v>
      </c>
      <c r="AG80" s="295">
        <v>0</v>
      </c>
      <c r="AH80" s="295">
        <v>1709.5</v>
      </c>
      <c r="AI80" s="362"/>
    </row>
    <row r="81" spans="1:35" ht="13.5" customHeight="1">
      <c r="A81" s="291">
        <v>129</v>
      </c>
      <c r="B81" s="291">
        <v>42988</v>
      </c>
      <c r="C81" s="292" t="s">
        <v>837</v>
      </c>
      <c r="D81" s="293" t="s">
        <v>158</v>
      </c>
      <c r="E81" s="293" t="str">
        <f t="shared" si="1"/>
        <v>1</v>
      </c>
      <c r="F81" s="293" t="s">
        <v>126</v>
      </c>
      <c r="G81" s="294">
        <v>1010</v>
      </c>
      <c r="H81" s="292" t="s">
        <v>142</v>
      </c>
      <c r="I81" s="292" t="s">
        <v>838</v>
      </c>
      <c r="J81" s="293" t="s">
        <v>839</v>
      </c>
      <c r="K81" s="293" t="s">
        <v>1189</v>
      </c>
      <c r="L81" s="293" t="s">
        <v>436</v>
      </c>
      <c r="M81" s="293" t="s">
        <v>487</v>
      </c>
      <c r="N81" s="295">
        <v>1559</v>
      </c>
      <c r="O81" s="296" t="s">
        <v>673</v>
      </c>
      <c r="P81" s="295">
        <v>500</v>
      </c>
      <c r="Q81" s="295">
        <v>0</v>
      </c>
      <c r="R81" s="295">
        <v>0</v>
      </c>
      <c r="S81" s="295">
        <v>1590</v>
      </c>
      <c r="T81" s="295">
        <v>1590</v>
      </c>
      <c r="U81" s="295">
        <v>30</v>
      </c>
      <c r="V81" s="295">
        <v>10</v>
      </c>
      <c r="W81" s="295">
        <v>5.5</v>
      </c>
      <c r="X81" s="295">
        <v>5</v>
      </c>
      <c r="Y81" s="295">
        <v>18</v>
      </c>
      <c r="Z81" s="295">
        <v>0</v>
      </c>
      <c r="AA81" s="295">
        <v>0</v>
      </c>
      <c r="AB81" s="295">
        <v>35</v>
      </c>
      <c r="AC81" s="295">
        <v>75</v>
      </c>
      <c r="AD81" s="295">
        <v>0</v>
      </c>
      <c r="AE81" s="295">
        <v>0</v>
      </c>
      <c r="AF81" s="295">
        <v>0</v>
      </c>
      <c r="AG81" s="295">
        <v>0</v>
      </c>
      <c r="AH81" s="295">
        <v>1768.5</v>
      </c>
      <c r="AI81" s="362"/>
    </row>
    <row r="82" spans="1:35" ht="13.5" customHeight="1">
      <c r="A82" s="291">
        <v>151</v>
      </c>
      <c r="B82" s="291">
        <v>42665</v>
      </c>
      <c r="C82" s="292" t="s">
        <v>840</v>
      </c>
      <c r="D82" s="293" t="s">
        <v>149</v>
      </c>
      <c r="E82" s="293" t="str">
        <f t="shared" si="1"/>
        <v>2</v>
      </c>
      <c r="F82" s="293" t="s">
        <v>126</v>
      </c>
      <c r="G82" s="294">
        <v>1076</v>
      </c>
      <c r="H82" s="292" t="s">
        <v>97</v>
      </c>
      <c r="I82" s="292" t="s">
        <v>841</v>
      </c>
      <c r="J82" s="293" t="s">
        <v>842</v>
      </c>
      <c r="K82" s="293"/>
      <c r="L82" s="293" t="s">
        <v>385</v>
      </c>
      <c r="M82" s="293" t="s">
        <v>477</v>
      </c>
      <c r="N82" s="295">
        <v>1639</v>
      </c>
      <c r="O82" s="296" t="s">
        <v>673</v>
      </c>
      <c r="P82" s="295">
        <v>0</v>
      </c>
      <c r="Q82" s="295">
        <v>0</v>
      </c>
      <c r="R82" s="295">
        <v>0</v>
      </c>
      <c r="S82" s="295">
        <v>1730</v>
      </c>
      <c r="T82" s="295">
        <v>1730</v>
      </c>
      <c r="U82" s="295">
        <v>30</v>
      </c>
      <c r="V82" s="295">
        <v>10</v>
      </c>
      <c r="W82" s="295">
        <v>5.5</v>
      </c>
      <c r="X82" s="295">
        <v>5</v>
      </c>
      <c r="Y82" s="295">
        <v>18</v>
      </c>
      <c r="Z82" s="295">
        <v>0</v>
      </c>
      <c r="AA82" s="295">
        <v>0</v>
      </c>
      <c r="AB82" s="295">
        <v>35</v>
      </c>
      <c r="AC82" s="295">
        <v>0</v>
      </c>
      <c r="AD82" s="295">
        <v>0</v>
      </c>
      <c r="AE82" s="295">
        <v>0</v>
      </c>
      <c r="AF82" s="295">
        <v>0</v>
      </c>
      <c r="AG82" s="295">
        <v>0</v>
      </c>
      <c r="AH82" s="295">
        <v>1833.5</v>
      </c>
      <c r="AI82" s="362"/>
    </row>
    <row r="83" spans="1:35" ht="13.5" customHeight="1">
      <c r="A83" s="291">
        <v>32006</v>
      </c>
      <c r="B83" s="291">
        <v>42957</v>
      </c>
      <c r="C83" s="292" t="s">
        <v>843</v>
      </c>
      <c r="D83" s="293" t="s">
        <v>147</v>
      </c>
      <c r="E83" s="293" t="str">
        <f t="shared" si="1"/>
        <v>Q</v>
      </c>
      <c r="F83" s="293" t="s">
        <v>126</v>
      </c>
      <c r="G83" s="294">
        <v>1076</v>
      </c>
      <c r="H83" s="292" t="s">
        <v>97</v>
      </c>
      <c r="I83" s="292" t="s">
        <v>1834</v>
      </c>
      <c r="J83" s="293" t="s">
        <v>1045</v>
      </c>
      <c r="K83" s="293"/>
      <c r="L83" s="293" t="s">
        <v>1045</v>
      </c>
      <c r="M83" s="293" t="s">
        <v>1835</v>
      </c>
      <c r="N83" s="295">
        <v>1659</v>
      </c>
      <c r="O83" s="296" t="s">
        <v>673</v>
      </c>
      <c r="P83" s="295">
        <v>0</v>
      </c>
      <c r="Q83" s="295">
        <v>0</v>
      </c>
      <c r="R83" s="295">
        <v>0</v>
      </c>
      <c r="S83" s="295">
        <v>1639</v>
      </c>
      <c r="T83" s="295">
        <v>1639</v>
      </c>
      <c r="U83" s="295">
        <v>30</v>
      </c>
      <c r="V83" s="295">
        <v>10</v>
      </c>
      <c r="W83" s="295">
        <v>5.5</v>
      </c>
      <c r="X83" s="295">
        <v>5</v>
      </c>
      <c r="Y83" s="295">
        <v>18</v>
      </c>
      <c r="Z83" s="295">
        <v>15</v>
      </c>
      <c r="AA83" s="295">
        <v>0</v>
      </c>
      <c r="AB83" s="295">
        <v>0</v>
      </c>
      <c r="AC83" s="295">
        <v>0</v>
      </c>
      <c r="AD83" s="295">
        <v>0</v>
      </c>
      <c r="AE83" s="295">
        <v>0</v>
      </c>
      <c r="AF83" s="295">
        <v>0</v>
      </c>
      <c r="AG83" s="295">
        <v>0</v>
      </c>
      <c r="AH83" s="295">
        <v>1722.5</v>
      </c>
      <c r="AI83" s="362"/>
    </row>
    <row r="84" spans="1:35" ht="13.5" customHeight="1">
      <c r="A84" s="291">
        <v>31829</v>
      </c>
      <c r="B84" s="291">
        <v>43190</v>
      </c>
      <c r="C84" s="292" t="s">
        <v>844</v>
      </c>
      <c r="D84" s="293" t="s">
        <v>160</v>
      </c>
      <c r="E84" s="293" t="str">
        <f t="shared" si="1"/>
        <v>Q</v>
      </c>
      <c r="F84" s="293" t="s">
        <v>126</v>
      </c>
      <c r="G84" s="294">
        <v>1010</v>
      </c>
      <c r="H84" s="292" t="s">
        <v>97</v>
      </c>
      <c r="I84" s="292" t="s">
        <v>845</v>
      </c>
      <c r="J84" s="293" t="s">
        <v>846</v>
      </c>
      <c r="K84" s="293"/>
      <c r="L84" s="293" t="s">
        <v>2071</v>
      </c>
      <c r="M84" s="293" t="s">
        <v>2097</v>
      </c>
      <c r="N84" s="295">
        <v>1579</v>
      </c>
      <c r="O84" s="296" t="s">
        <v>673</v>
      </c>
      <c r="P84" s="295">
        <v>0</v>
      </c>
      <c r="Q84" s="295">
        <v>0</v>
      </c>
      <c r="R84" s="295">
        <v>0</v>
      </c>
      <c r="S84" s="295">
        <v>1609</v>
      </c>
      <c r="T84" s="295">
        <v>1609</v>
      </c>
      <c r="U84" s="295">
        <v>30</v>
      </c>
      <c r="V84" s="295">
        <v>10</v>
      </c>
      <c r="W84" s="295">
        <v>5.5</v>
      </c>
      <c r="X84" s="295">
        <v>5</v>
      </c>
      <c r="Y84" s="295">
        <v>18</v>
      </c>
      <c r="Z84" s="295">
        <v>30</v>
      </c>
      <c r="AA84" s="295">
        <v>0</v>
      </c>
      <c r="AB84" s="295">
        <v>0</v>
      </c>
      <c r="AC84" s="295">
        <v>0</v>
      </c>
      <c r="AD84" s="295">
        <v>0</v>
      </c>
      <c r="AE84" s="295">
        <v>0</v>
      </c>
      <c r="AF84" s="295">
        <v>0</v>
      </c>
      <c r="AG84" s="295">
        <v>0</v>
      </c>
      <c r="AH84" s="295">
        <v>1707.5</v>
      </c>
      <c r="AI84" s="362"/>
    </row>
    <row r="85" spans="1:35" ht="13.5" customHeight="1">
      <c r="A85" s="291">
        <v>136</v>
      </c>
      <c r="B85" s="291">
        <v>42733</v>
      </c>
      <c r="C85" s="292" t="s">
        <v>847</v>
      </c>
      <c r="D85" s="293" t="s">
        <v>158</v>
      </c>
      <c r="E85" s="293" t="str">
        <f t="shared" si="1"/>
        <v>1</v>
      </c>
      <c r="F85" s="293" t="s">
        <v>126</v>
      </c>
      <c r="G85" s="294">
        <v>1010</v>
      </c>
      <c r="H85" s="292" t="s">
        <v>97</v>
      </c>
      <c r="I85" s="292" t="s">
        <v>848</v>
      </c>
      <c r="J85" s="293" t="s">
        <v>849</v>
      </c>
      <c r="K85" s="293"/>
      <c r="L85" s="293" t="s">
        <v>1113</v>
      </c>
      <c r="M85" s="293" t="s">
        <v>1810</v>
      </c>
      <c r="N85" s="295">
        <v>1559</v>
      </c>
      <c r="O85" s="296" t="s">
        <v>673</v>
      </c>
      <c r="P85" s="295">
        <v>0</v>
      </c>
      <c r="Q85" s="295">
        <v>0</v>
      </c>
      <c r="R85" s="295">
        <v>-57.21</v>
      </c>
      <c r="S85" s="295">
        <v>1599</v>
      </c>
      <c r="T85" s="295">
        <v>1599</v>
      </c>
      <c r="U85" s="295">
        <v>30</v>
      </c>
      <c r="V85" s="295">
        <v>10</v>
      </c>
      <c r="W85" s="295">
        <v>5.5</v>
      </c>
      <c r="X85" s="295">
        <v>5</v>
      </c>
      <c r="Y85" s="295">
        <v>0</v>
      </c>
      <c r="Z85" s="295">
        <v>0</v>
      </c>
      <c r="AA85" s="295">
        <v>0</v>
      </c>
      <c r="AB85" s="295">
        <v>0</v>
      </c>
      <c r="AC85" s="295">
        <v>0</v>
      </c>
      <c r="AD85" s="295">
        <v>0</v>
      </c>
      <c r="AE85" s="295">
        <v>0</v>
      </c>
      <c r="AF85" s="295">
        <v>0</v>
      </c>
      <c r="AG85" s="295">
        <v>0</v>
      </c>
      <c r="AH85" s="295">
        <v>1649.5</v>
      </c>
      <c r="AI85" s="362"/>
    </row>
    <row r="86" spans="1:35" ht="13.5" customHeight="1">
      <c r="A86" s="291">
        <v>187</v>
      </c>
      <c r="B86" s="291">
        <v>43101</v>
      </c>
      <c r="C86" s="292" t="s">
        <v>850</v>
      </c>
      <c r="D86" s="293" t="s">
        <v>166</v>
      </c>
      <c r="E86" s="293" t="str">
        <f t="shared" si="1"/>
        <v>2</v>
      </c>
      <c r="F86" s="293" t="s">
        <v>126</v>
      </c>
      <c r="G86" s="294">
        <v>700</v>
      </c>
      <c r="H86" s="292" t="s">
        <v>97</v>
      </c>
      <c r="I86" s="292" t="s">
        <v>851</v>
      </c>
      <c r="J86" s="293" t="s">
        <v>852</v>
      </c>
      <c r="K86" s="293"/>
      <c r="L86" s="293" t="s">
        <v>462</v>
      </c>
      <c r="M86" s="293" t="s">
        <v>2019</v>
      </c>
      <c r="N86" s="295">
        <v>1319</v>
      </c>
      <c r="O86" s="296" t="s">
        <v>673</v>
      </c>
      <c r="P86" s="295">
        <v>500</v>
      </c>
      <c r="Q86" s="295">
        <v>500</v>
      </c>
      <c r="R86" s="295">
        <v>0</v>
      </c>
      <c r="S86" s="295">
        <v>1349</v>
      </c>
      <c r="T86" s="295">
        <v>1349</v>
      </c>
      <c r="U86" s="295">
        <v>30</v>
      </c>
      <c r="V86" s="295">
        <v>10</v>
      </c>
      <c r="W86" s="295">
        <v>5.5</v>
      </c>
      <c r="X86" s="295">
        <v>5</v>
      </c>
      <c r="Y86" s="295">
        <v>0</v>
      </c>
      <c r="Z86" s="295">
        <v>0</v>
      </c>
      <c r="AA86" s="295">
        <v>0</v>
      </c>
      <c r="AB86" s="295">
        <v>0</v>
      </c>
      <c r="AC86" s="295">
        <v>0</v>
      </c>
      <c r="AD86" s="295">
        <v>0</v>
      </c>
      <c r="AE86" s="295">
        <v>0</v>
      </c>
      <c r="AF86" s="295">
        <v>0</v>
      </c>
      <c r="AG86" s="295">
        <v>0</v>
      </c>
      <c r="AH86" s="295">
        <v>1399.5</v>
      </c>
      <c r="AI86" s="362"/>
    </row>
    <row r="87" spans="1:35" ht="13.5" customHeight="1">
      <c r="A87" s="291">
        <v>10895</v>
      </c>
      <c r="B87" s="291">
        <v>43087</v>
      </c>
      <c r="C87" s="292" t="s">
        <v>853</v>
      </c>
      <c r="D87" s="293" t="s">
        <v>281</v>
      </c>
      <c r="E87" s="293" t="str">
        <f t="shared" si="1"/>
        <v>G</v>
      </c>
      <c r="F87" s="293" t="s">
        <v>126</v>
      </c>
      <c r="G87" s="294">
        <v>700</v>
      </c>
      <c r="H87" s="292" t="s">
        <v>97</v>
      </c>
      <c r="I87" s="292" t="s">
        <v>854</v>
      </c>
      <c r="J87" s="293" t="s">
        <v>769</v>
      </c>
      <c r="K87" s="293"/>
      <c r="L87" s="293" t="s">
        <v>470</v>
      </c>
      <c r="M87" s="293" t="s">
        <v>2086</v>
      </c>
      <c r="N87" s="295">
        <v>1319</v>
      </c>
      <c r="O87" s="296" t="s">
        <v>673</v>
      </c>
      <c r="P87" s="295">
        <v>0</v>
      </c>
      <c r="Q87" s="295">
        <v>0</v>
      </c>
      <c r="R87" s="295">
        <v>0</v>
      </c>
      <c r="S87" s="295">
        <v>1390</v>
      </c>
      <c r="T87" s="295">
        <v>1390</v>
      </c>
      <c r="U87" s="295">
        <v>30</v>
      </c>
      <c r="V87" s="295">
        <v>10</v>
      </c>
      <c r="W87" s="295">
        <v>5.5</v>
      </c>
      <c r="X87" s="295">
        <v>5</v>
      </c>
      <c r="Y87" s="295">
        <v>18</v>
      </c>
      <c r="Z87" s="295">
        <v>0</v>
      </c>
      <c r="AA87" s="295">
        <v>0</v>
      </c>
      <c r="AB87" s="295">
        <v>0</v>
      </c>
      <c r="AC87" s="295">
        <v>0</v>
      </c>
      <c r="AD87" s="295">
        <v>0</v>
      </c>
      <c r="AE87" s="295">
        <v>0</v>
      </c>
      <c r="AF87" s="295">
        <v>0</v>
      </c>
      <c r="AG87" s="295">
        <v>0</v>
      </c>
      <c r="AH87" s="295">
        <v>1458.5</v>
      </c>
      <c r="AI87" s="362"/>
    </row>
    <row r="88" spans="1:35" ht="13.5" customHeight="1">
      <c r="A88" s="291">
        <v>32070</v>
      </c>
      <c r="B88" s="291">
        <v>43098</v>
      </c>
      <c r="C88" s="292" t="s">
        <v>855</v>
      </c>
      <c r="D88" s="293" t="s">
        <v>164</v>
      </c>
      <c r="E88" s="293" t="str">
        <f t="shared" si="1"/>
        <v>F</v>
      </c>
      <c r="F88" s="293" t="s">
        <v>126</v>
      </c>
      <c r="G88" s="294">
        <v>700</v>
      </c>
      <c r="H88" s="292" t="s">
        <v>97</v>
      </c>
      <c r="I88" s="292" t="s">
        <v>1956</v>
      </c>
      <c r="J88" s="293" t="s">
        <v>1947</v>
      </c>
      <c r="K88" s="293"/>
      <c r="L88" s="293" t="s">
        <v>1947</v>
      </c>
      <c r="M88" s="293" t="s">
        <v>1957</v>
      </c>
      <c r="N88" s="295">
        <v>1249</v>
      </c>
      <c r="O88" s="296" t="s">
        <v>673</v>
      </c>
      <c r="P88" s="295">
        <v>0</v>
      </c>
      <c r="Q88" s="295">
        <v>0</v>
      </c>
      <c r="R88" s="295">
        <v>0</v>
      </c>
      <c r="S88" s="295">
        <v>1179</v>
      </c>
      <c r="T88" s="295">
        <v>1179</v>
      </c>
      <c r="U88" s="295">
        <v>30</v>
      </c>
      <c r="V88" s="295">
        <v>10</v>
      </c>
      <c r="W88" s="295">
        <v>5</v>
      </c>
      <c r="X88" s="295">
        <v>5</v>
      </c>
      <c r="Y88" s="295">
        <v>0</v>
      </c>
      <c r="Z88" s="295">
        <v>0</v>
      </c>
      <c r="AA88" s="295">
        <v>0</v>
      </c>
      <c r="AB88" s="295">
        <v>0</v>
      </c>
      <c r="AC88" s="295">
        <v>0</v>
      </c>
      <c r="AD88" s="295">
        <v>0</v>
      </c>
      <c r="AE88" s="295">
        <v>0</v>
      </c>
      <c r="AF88" s="295">
        <v>0</v>
      </c>
      <c r="AG88" s="295">
        <v>0</v>
      </c>
      <c r="AH88" s="295">
        <v>1229</v>
      </c>
      <c r="AI88" s="362"/>
    </row>
    <row r="89" spans="1:35" ht="13.5" customHeight="1">
      <c r="A89" s="291">
        <v>32067</v>
      </c>
      <c r="B89" s="291">
        <v>43095</v>
      </c>
      <c r="C89" s="292" t="s">
        <v>856</v>
      </c>
      <c r="D89" s="293" t="s">
        <v>164</v>
      </c>
      <c r="E89" s="293" t="str">
        <f t="shared" si="1"/>
        <v>F</v>
      </c>
      <c r="F89" s="293" t="s">
        <v>126</v>
      </c>
      <c r="G89" s="294">
        <v>700</v>
      </c>
      <c r="H89" s="292" t="s">
        <v>97</v>
      </c>
      <c r="I89" s="292" t="s">
        <v>1958</v>
      </c>
      <c r="J89" s="293" t="s">
        <v>423</v>
      </c>
      <c r="K89" s="293"/>
      <c r="L89" s="293" t="s">
        <v>423</v>
      </c>
      <c r="M89" s="293" t="s">
        <v>1959</v>
      </c>
      <c r="N89" s="295">
        <v>1249</v>
      </c>
      <c r="O89" s="296" t="s">
        <v>673</v>
      </c>
      <c r="P89" s="295">
        <v>0</v>
      </c>
      <c r="Q89" s="295">
        <v>0</v>
      </c>
      <c r="R89" s="295">
        <v>0</v>
      </c>
      <c r="S89" s="295">
        <v>1029</v>
      </c>
      <c r="T89" s="295">
        <v>1029</v>
      </c>
      <c r="U89" s="295">
        <v>30</v>
      </c>
      <c r="V89" s="295">
        <v>10</v>
      </c>
      <c r="W89" s="295">
        <v>5</v>
      </c>
      <c r="X89" s="295">
        <v>5</v>
      </c>
      <c r="Y89" s="295">
        <v>18</v>
      </c>
      <c r="Z89" s="295">
        <v>0</v>
      </c>
      <c r="AA89" s="295">
        <v>0</v>
      </c>
      <c r="AB89" s="295">
        <v>0</v>
      </c>
      <c r="AC89" s="295">
        <v>0</v>
      </c>
      <c r="AD89" s="295">
        <v>0</v>
      </c>
      <c r="AE89" s="295">
        <v>0</v>
      </c>
      <c r="AF89" s="295">
        <v>0</v>
      </c>
      <c r="AG89" s="295">
        <v>0</v>
      </c>
      <c r="AH89" s="295">
        <v>1097</v>
      </c>
      <c r="AI89" s="362"/>
    </row>
    <row r="90" spans="1:35" ht="13.5" customHeight="1">
      <c r="A90" s="291">
        <v>17</v>
      </c>
      <c r="B90" s="291">
        <v>43067</v>
      </c>
      <c r="C90" s="292" t="s">
        <v>857</v>
      </c>
      <c r="D90" s="293" t="s">
        <v>166</v>
      </c>
      <c r="E90" s="293" t="str">
        <f t="shared" si="1"/>
        <v>2</v>
      </c>
      <c r="F90" s="293" t="s">
        <v>126</v>
      </c>
      <c r="G90" s="294">
        <v>700</v>
      </c>
      <c r="H90" s="292" t="s">
        <v>97</v>
      </c>
      <c r="I90" s="292" t="s">
        <v>858</v>
      </c>
      <c r="J90" s="293" t="s">
        <v>859</v>
      </c>
      <c r="K90" s="293"/>
      <c r="L90" s="293" t="s">
        <v>470</v>
      </c>
      <c r="M90" s="293" t="s">
        <v>2086</v>
      </c>
      <c r="N90" s="295">
        <v>1319</v>
      </c>
      <c r="O90" s="296" t="s">
        <v>673</v>
      </c>
      <c r="P90" s="295">
        <v>160</v>
      </c>
      <c r="Q90" s="295">
        <v>160</v>
      </c>
      <c r="R90" s="295">
        <v>0</v>
      </c>
      <c r="S90" s="295">
        <v>1299</v>
      </c>
      <c r="T90" s="295">
        <v>1299</v>
      </c>
      <c r="U90" s="295">
        <v>30</v>
      </c>
      <c r="V90" s="295">
        <v>10</v>
      </c>
      <c r="W90" s="295">
        <v>5.5</v>
      </c>
      <c r="X90" s="295">
        <v>5</v>
      </c>
      <c r="Y90" s="295">
        <v>18</v>
      </c>
      <c r="Z90" s="295">
        <v>0</v>
      </c>
      <c r="AA90" s="295">
        <v>0</v>
      </c>
      <c r="AB90" s="295">
        <v>0</v>
      </c>
      <c r="AC90" s="295">
        <v>0</v>
      </c>
      <c r="AD90" s="295">
        <v>0</v>
      </c>
      <c r="AE90" s="295">
        <v>0</v>
      </c>
      <c r="AF90" s="295">
        <v>0</v>
      </c>
      <c r="AG90" s="295">
        <v>0</v>
      </c>
      <c r="AH90" s="295">
        <v>1367.5</v>
      </c>
      <c r="AI90" s="362"/>
    </row>
    <row r="91" spans="1:35" ht="13.5" customHeight="1">
      <c r="A91" s="291">
        <v>31710</v>
      </c>
      <c r="B91" s="291">
        <v>43171</v>
      </c>
      <c r="C91" s="292" t="s">
        <v>860</v>
      </c>
      <c r="D91" s="293" t="s">
        <v>164</v>
      </c>
      <c r="E91" s="293" t="str">
        <f t="shared" si="1"/>
        <v>F</v>
      </c>
      <c r="F91" s="293" t="s">
        <v>126</v>
      </c>
      <c r="G91" s="294">
        <v>700</v>
      </c>
      <c r="H91" s="292" t="s">
        <v>97</v>
      </c>
      <c r="I91" s="292" t="s">
        <v>861</v>
      </c>
      <c r="J91" s="293" t="s">
        <v>364</v>
      </c>
      <c r="K91" s="293"/>
      <c r="L91" s="293" t="s">
        <v>474</v>
      </c>
      <c r="M91" s="293" t="s">
        <v>2098</v>
      </c>
      <c r="N91" s="295">
        <v>1249</v>
      </c>
      <c r="O91" s="296" t="s">
        <v>673</v>
      </c>
      <c r="P91" s="295">
        <v>0</v>
      </c>
      <c r="Q91" s="295">
        <v>0</v>
      </c>
      <c r="R91" s="295">
        <v>250</v>
      </c>
      <c r="S91" s="295">
        <v>1248</v>
      </c>
      <c r="T91" s="295">
        <v>1248</v>
      </c>
      <c r="U91" s="295">
        <v>30</v>
      </c>
      <c r="V91" s="295">
        <v>10</v>
      </c>
      <c r="W91" s="295">
        <v>5.5</v>
      </c>
      <c r="X91" s="295">
        <v>5</v>
      </c>
      <c r="Y91" s="295">
        <v>18</v>
      </c>
      <c r="Z91" s="295">
        <v>0</v>
      </c>
      <c r="AA91" s="295">
        <v>0</v>
      </c>
      <c r="AB91" s="295">
        <v>0</v>
      </c>
      <c r="AC91" s="295">
        <v>0</v>
      </c>
      <c r="AD91" s="295">
        <v>0</v>
      </c>
      <c r="AE91" s="295">
        <v>0</v>
      </c>
      <c r="AF91" s="295">
        <v>0</v>
      </c>
      <c r="AG91" s="295">
        <v>0</v>
      </c>
      <c r="AH91" s="295">
        <v>1316.5</v>
      </c>
      <c r="AI91" s="362"/>
    </row>
    <row r="92" spans="1:35" ht="13.5" customHeight="1">
      <c r="A92" s="291">
        <v>31457</v>
      </c>
      <c r="B92" s="291">
        <v>42601</v>
      </c>
      <c r="C92" s="292" t="s">
        <v>862</v>
      </c>
      <c r="D92" s="293" t="s">
        <v>167</v>
      </c>
      <c r="E92" s="293" t="str">
        <f t="shared" si="1"/>
        <v>Q</v>
      </c>
      <c r="F92" s="293" t="s">
        <v>126</v>
      </c>
      <c r="G92" s="294">
        <v>700</v>
      </c>
      <c r="H92" s="292" t="s">
        <v>97</v>
      </c>
      <c r="I92" s="292" t="s">
        <v>863</v>
      </c>
      <c r="J92" s="293" t="s">
        <v>864</v>
      </c>
      <c r="K92" s="293"/>
      <c r="L92" s="293" t="s">
        <v>506</v>
      </c>
      <c r="M92" s="293" t="s">
        <v>489</v>
      </c>
      <c r="N92" s="295">
        <v>1329</v>
      </c>
      <c r="O92" s="296" t="s">
        <v>673</v>
      </c>
      <c r="P92" s="295">
        <v>0</v>
      </c>
      <c r="Q92" s="295">
        <v>0</v>
      </c>
      <c r="R92" s="295">
        <v>0</v>
      </c>
      <c r="S92" s="295">
        <v>1359</v>
      </c>
      <c r="T92" s="295">
        <v>1359</v>
      </c>
      <c r="U92" s="295">
        <v>30</v>
      </c>
      <c r="V92" s="295">
        <v>10</v>
      </c>
      <c r="W92" s="295">
        <v>5.5</v>
      </c>
      <c r="X92" s="295">
        <v>5</v>
      </c>
      <c r="Y92" s="295">
        <v>18</v>
      </c>
      <c r="Z92" s="295">
        <v>15</v>
      </c>
      <c r="AA92" s="295">
        <v>0</v>
      </c>
      <c r="AB92" s="295">
        <v>0</v>
      </c>
      <c r="AC92" s="295">
        <v>0</v>
      </c>
      <c r="AD92" s="295">
        <v>0</v>
      </c>
      <c r="AE92" s="295">
        <v>0</v>
      </c>
      <c r="AF92" s="295">
        <v>0</v>
      </c>
      <c r="AG92" s="295">
        <v>0</v>
      </c>
      <c r="AH92" s="295">
        <v>1442.5</v>
      </c>
      <c r="AI92" s="362"/>
    </row>
    <row r="93" spans="1:35" ht="13.5" customHeight="1">
      <c r="A93" s="291">
        <v>32139</v>
      </c>
      <c r="B93" s="291">
        <v>43209</v>
      </c>
      <c r="C93" s="292" t="s">
        <v>865</v>
      </c>
      <c r="D93" s="293" t="s">
        <v>167</v>
      </c>
      <c r="E93" s="293" t="str">
        <f t="shared" si="1"/>
        <v>Q</v>
      </c>
      <c r="F93" s="293" t="s">
        <v>126</v>
      </c>
      <c r="G93" s="294">
        <v>700</v>
      </c>
      <c r="H93" s="292" t="s">
        <v>97</v>
      </c>
      <c r="I93" s="292" t="s">
        <v>2099</v>
      </c>
      <c r="J93" s="293" t="s">
        <v>443</v>
      </c>
      <c r="K93" s="293"/>
      <c r="L93" s="293" t="s">
        <v>443</v>
      </c>
      <c r="M93" s="293" t="s">
        <v>2100</v>
      </c>
      <c r="N93" s="295">
        <v>1329</v>
      </c>
      <c r="O93" s="296" t="s">
        <v>673</v>
      </c>
      <c r="P93" s="295">
        <v>0</v>
      </c>
      <c r="Q93" s="295">
        <v>0</v>
      </c>
      <c r="R93" s="295">
        <v>6.45</v>
      </c>
      <c r="S93" s="295">
        <v>1329</v>
      </c>
      <c r="T93" s="295">
        <v>1329</v>
      </c>
      <c r="U93" s="295">
        <v>30</v>
      </c>
      <c r="V93" s="295">
        <v>10</v>
      </c>
      <c r="W93" s="295">
        <v>5.5</v>
      </c>
      <c r="X93" s="295">
        <v>5</v>
      </c>
      <c r="Y93" s="295">
        <v>18</v>
      </c>
      <c r="Z93" s="295">
        <v>0</v>
      </c>
      <c r="AA93" s="295">
        <v>0</v>
      </c>
      <c r="AB93" s="295">
        <v>0</v>
      </c>
      <c r="AC93" s="295">
        <v>200</v>
      </c>
      <c r="AD93" s="295">
        <v>0</v>
      </c>
      <c r="AE93" s="295">
        <v>0</v>
      </c>
      <c r="AF93" s="295">
        <v>0</v>
      </c>
      <c r="AG93" s="295">
        <v>0</v>
      </c>
      <c r="AH93" s="295">
        <v>1597.5</v>
      </c>
      <c r="AI93" s="362"/>
    </row>
    <row r="94" spans="1:35" ht="13.5" customHeight="1">
      <c r="A94" s="291">
        <v>31593</v>
      </c>
      <c r="B94" s="291">
        <v>42838</v>
      </c>
      <c r="C94" s="292" t="s">
        <v>868</v>
      </c>
      <c r="D94" s="293" t="s">
        <v>160</v>
      </c>
      <c r="E94" s="293" t="str">
        <f t="shared" si="1"/>
        <v>Q</v>
      </c>
      <c r="F94" s="293" t="s">
        <v>126</v>
      </c>
      <c r="G94" s="294">
        <v>1010</v>
      </c>
      <c r="H94" s="292" t="s">
        <v>97</v>
      </c>
      <c r="I94" s="292" t="s">
        <v>869</v>
      </c>
      <c r="J94" s="293" t="s">
        <v>870</v>
      </c>
      <c r="K94" s="293"/>
      <c r="L94" s="293" t="s">
        <v>1504</v>
      </c>
      <c r="M94" s="293" t="s">
        <v>1792</v>
      </c>
      <c r="N94" s="295">
        <v>1579</v>
      </c>
      <c r="O94" s="296" t="s">
        <v>673</v>
      </c>
      <c r="P94" s="295">
        <v>0</v>
      </c>
      <c r="Q94" s="295">
        <v>0</v>
      </c>
      <c r="R94" s="295">
        <v>0</v>
      </c>
      <c r="S94" s="295">
        <v>1619</v>
      </c>
      <c r="T94" s="295">
        <v>1619</v>
      </c>
      <c r="U94" s="295">
        <v>30</v>
      </c>
      <c r="V94" s="295">
        <v>10</v>
      </c>
      <c r="W94" s="295">
        <v>5.5</v>
      </c>
      <c r="X94" s="295">
        <v>5</v>
      </c>
      <c r="Y94" s="295">
        <v>18</v>
      </c>
      <c r="Z94" s="295">
        <v>30</v>
      </c>
      <c r="AA94" s="295">
        <v>0</v>
      </c>
      <c r="AB94" s="295">
        <v>35</v>
      </c>
      <c r="AC94" s="295">
        <v>0</v>
      </c>
      <c r="AD94" s="295">
        <v>0</v>
      </c>
      <c r="AE94" s="295">
        <v>0</v>
      </c>
      <c r="AF94" s="295">
        <v>0</v>
      </c>
      <c r="AG94" s="295">
        <v>0</v>
      </c>
      <c r="AH94" s="295">
        <v>1752.5</v>
      </c>
      <c r="AI94" s="362"/>
    </row>
    <row r="95" spans="1:35" ht="13.5" customHeight="1">
      <c r="A95" s="291">
        <v>31585</v>
      </c>
      <c r="B95" s="291">
        <v>42863</v>
      </c>
      <c r="C95" s="292" t="s">
        <v>871</v>
      </c>
      <c r="D95" s="293" t="s">
        <v>872</v>
      </c>
      <c r="E95" s="293" t="str">
        <f t="shared" si="1"/>
        <v>G</v>
      </c>
      <c r="F95" s="293" t="s">
        <v>126</v>
      </c>
      <c r="G95" s="294">
        <v>1010</v>
      </c>
      <c r="H95" s="292" t="s">
        <v>97</v>
      </c>
      <c r="I95" s="292" t="s">
        <v>873</v>
      </c>
      <c r="J95" s="293" t="s">
        <v>874</v>
      </c>
      <c r="K95" s="293"/>
      <c r="L95" s="293" t="s">
        <v>413</v>
      </c>
      <c r="M95" s="293" t="s">
        <v>1833</v>
      </c>
      <c r="N95" s="295">
        <v>1529</v>
      </c>
      <c r="O95" s="296" t="s">
        <v>673</v>
      </c>
      <c r="P95" s="295">
        <v>0</v>
      </c>
      <c r="Q95" s="295">
        <v>0</v>
      </c>
      <c r="R95" s="295">
        <v>0</v>
      </c>
      <c r="S95" s="295">
        <v>1569</v>
      </c>
      <c r="T95" s="295">
        <v>1569</v>
      </c>
      <c r="U95" s="295">
        <v>30</v>
      </c>
      <c r="V95" s="295">
        <v>10</v>
      </c>
      <c r="W95" s="295">
        <v>5.5</v>
      </c>
      <c r="X95" s="295">
        <v>5</v>
      </c>
      <c r="Y95" s="295">
        <v>18</v>
      </c>
      <c r="Z95" s="295">
        <v>15</v>
      </c>
      <c r="AA95" s="295">
        <v>0</v>
      </c>
      <c r="AB95" s="295">
        <v>35</v>
      </c>
      <c r="AC95" s="295">
        <v>0</v>
      </c>
      <c r="AD95" s="295">
        <v>0</v>
      </c>
      <c r="AE95" s="295">
        <v>0</v>
      </c>
      <c r="AF95" s="295">
        <v>0</v>
      </c>
      <c r="AG95" s="295">
        <v>0</v>
      </c>
      <c r="AH95" s="295">
        <v>1687.5</v>
      </c>
      <c r="AI95" s="362"/>
    </row>
    <row r="96" spans="1:35" ht="13.5" customHeight="1">
      <c r="A96" s="291">
        <v>32098</v>
      </c>
      <c r="B96" s="291">
        <v>43134</v>
      </c>
      <c r="C96" s="292" t="s">
        <v>875</v>
      </c>
      <c r="D96" s="293" t="s">
        <v>160</v>
      </c>
      <c r="E96" s="293" t="str">
        <f t="shared" si="1"/>
        <v>Q</v>
      </c>
      <c r="F96" s="293" t="s">
        <v>126</v>
      </c>
      <c r="G96" s="294">
        <v>1010</v>
      </c>
      <c r="H96" s="292" t="s">
        <v>97</v>
      </c>
      <c r="I96" s="292" t="s">
        <v>2101</v>
      </c>
      <c r="J96" s="293" t="s">
        <v>2102</v>
      </c>
      <c r="K96" s="293"/>
      <c r="L96" s="293" t="s">
        <v>2102</v>
      </c>
      <c r="M96" s="293" t="s">
        <v>2103</v>
      </c>
      <c r="N96" s="295">
        <v>1579</v>
      </c>
      <c r="O96" s="296" t="s">
        <v>673</v>
      </c>
      <c r="P96" s="295">
        <v>0</v>
      </c>
      <c r="Q96" s="295">
        <v>0</v>
      </c>
      <c r="R96" s="295">
        <v>0</v>
      </c>
      <c r="S96" s="295">
        <v>1449</v>
      </c>
      <c r="T96" s="295">
        <v>1449</v>
      </c>
      <c r="U96" s="295">
        <v>30</v>
      </c>
      <c r="V96" s="295">
        <v>10</v>
      </c>
      <c r="W96" s="295">
        <v>5.5</v>
      </c>
      <c r="X96" s="295">
        <v>5</v>
      </c>
      <c r="Y96" s="295">
        <v>18</v>
      </c>
      <c r="Z96" s="295">
        <v>0</v>
      </c>
      <c r="AA96" s="295">
        <v>0</v>
      </c>
      <c r="AB96" s="295">
        <v>0</v>
      </c>
      <c r="AC96" s="295">
        <v>0</v>
      </c>
      <c r="AD96" s="295">
        <v>0</v>
      </c>
      <c r="AE96" s="295">
        <v>0</v>
      </c>
      <c r="AF96" s="295">
        <v>0</v>
      </c>
      <c r="AG96" s="295">
        <v>0</v>
      </c>
      <c r="AH96" s="295">
        <v>1517.5</v>
      </c>
      <c r="AI96" s="362"/>
    </row>
    <row r="97" spans="1:35" ht="13.5" customHeight="1">
      <c r="A97" s="291">
        <v>0</v>
      </c>
      <c r="B97" s="291">
        <v>0</v>
      </c>
      <c r="C97" s="292" t="s">
        <v>877</v>
      </c>
      <c r="D97" s="293" t="s">
        <v>160</v>
      </c>
      <c r="E97" s="293" t="str">
        <f t="shared" si="1"/>
        <v>Q</v>
      </c>
      <c r="F97" s="293" t="s">
        <v>126</v>
      </c>
      <c r="G97" s="294">
        <v>1010</v>
      </c>
      <c r="H97" s="292" t="s">
        <v>101</v>
      </c>
      <c r="I97" s="292" t="s">
        <v>682</v>
      </c>
      <c r="J97" s="293"/>
      <c r="K97" s="293"/>
      <c r="L97" s="293"/>
      <c r="M97" s="293"/>
      <c r="N97" s="295">
        <v>1579</v>
      </c>
      <c r="O97" s="296"/>
      <c r="P97" s="295">
        <v>0</v>
      </c>
      <c r="Q97" s="295">
        <v>0</v>
      </c>
      <c r="R97" s="295">
        <v>0</v>
      </c>
      <c r="S97" s="295">
        <v>0</v>
      </c>
      <c r="T97" s="295">
        <v>0</v>
      </c>
      <c r="U97" s="295">
        <v>0</v>
      </c>
      <c r="V97" s="295">
        <v>0</v>
      </c>
      <c r="W97" s="295">
        <v>0</v>
      </c>
      <c r="X97" s="295">
        <v>0</v>
      </c>
      <c r="Y97" s="295">
        <v>0</v>
      </c>
      <c r="Z97" s="295">
        <v>0</v>
      </c>
      <c r="AA97" s="295">
        <v>0</v>
      </c>
      <c r="AB97" s="295">
        <v>0</v>
      </c>
      <c r="AC97" s="295">
        <v>0</v>
      </c>
      <c r="AD97" s="295">
        <v>0</v>
      </c>
      <c r="AE97" s="295">
        <v>0</v>
      </c>
      <c r="AF97" s="295">
        <v>0</v>
      </c>
      <c r="AG97" s="295">
        <v>0</v>
      </c>
      <c r="AH97" s="295">
        <v>0</v>
      </c>
      <c r="AI97" s="362"/>
    </row>
    <row r="98" spans="1:35" ht="13.5" customHeight="1">
      <c r="A98" s="291">
        <v>11155</v>
      </c>
      <c r="B98" s="291">
        <v>42767</v>
      </c>
      <c r="C98" s="292" t="s">
        <v>878</v>
      </c>
      <c r="D98" s="293" t="s">
        <v>872</v>
      </c>
      <c r="E98" s="293" t="str">
        <f t="shared" si="1"/>
        <v>G</v>
      </c>
      <c r="F98" s="293" t="s">
        <v>126</v>
      </c>
      <c r="G98" s="294">
        <v>1010</v>
      </c>
      <c r="H98" s="292" t="s">
        <v>97</v>
      </c>
      <c r="I98" s="292" t="s">
        <v>879</v>
      </c>
      <c r="J98" s="293" t="s">
        <v>880</v>
      </c>
      <c r="K98" s="293"/>
      <c r="L98" s="293" t="s">
        <v>401</v>
      </c>
      <c r="M98" s="293" t="s">
        <v>1793</v>
      </c>
      <c r="N98" s="295">
        <v>1529</v>
      </c>
      <c r="O98" s="296" t="s">
        <v>673</v>
      </c>
      <c r="P98" s="295">
        <v>0</v>
      </c>
      <c r="Q98" s="295">
        <v>0</v>
      </c>
      <c r="R98" s="295">
        <v>0</v>
      </c>
      <c r="S98" s="295">
        <v>1639</v>
      </c>
      <c r="T98" s="295">
        <v>1639</v>
      </c>
      <c r="U98" s="295">
        <v>30</v>
      </c>
      <c r="V98" s="295">
        <v>10</v>
      </c>
      <c r="W98" s="295">
        <v>5.5</v>
      </c>
      <c r="X98" s="295">
        <v>5</v>
      </c>
      <c r="Y98" s="295">
        <v>18</v>
      </c>
      <c r="Z98" s="295">
        <v>15</v>
      </c>
      <c r="AA98" s="295">
        <v>0</v>
      </c>
      <c r="AB98" s="295">
        <v>0</v>
      </c>
      <c r="AC98" s="295">
        <v>0</v>
      </c>
      <c r="AD98" s="295">
        <v>0</v>
      </c>
      <c r="AE98" s="295">
        <v>0</v>
      </c>
      <c r="AF98" s="295">
        <v>0</v>
      </c>
      <c r="AG98" s="295">
        <v>0</v>
      </c>
      <c r="AH98" s="295">
        <v>1722.5</v>
      </c>
      <c r="AI98" s="362"/>
    </row>
    <row r="99" spans="1:35" ht="13.5" customHeight="1">
      <c r="A99" s="291">
        <v>101</v>
      </c>
      <c r="B99" s="291">
        <v>43212</v>
      </c>
      <c r="C99" s="292" t="s">
        <v>881</v>
      </c>
      <c r="D99" s="293" t="s">
        <v>158</v>
      </c>
      <c r="E99" s="293" t="str">
        <f t="shared" si="1"/>
        <v>1</v>
      </c>
      <c r="F99" s="293" t="s">
        <v>126</v>
      </c>
      <c r="G99" s="294">
        <v>1010</v>
      </c>
      <c r="H99" s="292" t="s">
        <v>97</v>
      </c>
      <c r="I99" s="292" t="s">
        <v>882</v>
      </c>
      <c r="J99" s="293" t="s">
        <v>883</v>
      </c>
      <c r="K99" s="293"/>
      <c r="L99" s="293" t="s">
        <v>491</v>
      </c>
      <c r="M99" s="293" t="s">
        <v>1957</v>
      </c>
      <c r="N99" s="295">
        <v>1559</v>
      </c>
      <c r="O99" s="296" t="s">
        <v>673</v>
      </c>
      <c r="P99" s="295">
        <v>250</v>
      </c>
      <c r="Q99" s="295">
        <v>250</v>
      </c>
      <c r="R99" s="295">
        <v>0</v>
      </c>
      <c r="S99" s="295">
        <v>1499</v>
      </c>
      <c r="T99" s="295">
        <v>1499</v>
      </c>
      <c r="U99" s="295">
        <v>30</v>
      </c>
      <c r="V99" s="295">
        <v>10</v>
      </c>
      <c r="W99" s="295">
        <v>5.5</v>
      </c>
      <c r="X99" s="295">
        <v>5</v>
      </c>
      <c r="Y99" s="295">
        <v>18</v>
      </c>
      <c r="Z99" s="295">
        <v>0</v>
      </c>
      <c r="AA99" s="295">
        <v>0</v>
      </c>
      <c r="AB99" s="295">
        <v>0</v>
      </c>
      <c r="AC99" s="295">
        <v>0</v>
      </c>
      <c r="AD99" s="295">
        <v>0</v>
      </c>
      <c r="AE99" s="295">
        <v>0</v>
      </c>
      <c r="AF99" s="295">
        <v>0</v>
      </c>
      <c r="AG99" s="295">
        <v>0</v>
      </c>
      <c r="AH99" s="295">
        <v>1567.5</v>
      </c>
      <c r="AI99" s="362"/>
    </row>
    <row r="100" spans="1:35" ht="13.5" customHeight="1">
      <c r="A100" s="291">
        <v>32101</v>
      </c>
      <c r="B100" s="291">
        <v>43139</v>
      </c>
      <c r="C100" s="292" t="s">
        <v>884</v>
      </c>
      <c r="D100" s="293" t="s">
        <v>872</v>
      </c>
      <c r="E100" s="293" t="str">
        <f t="shared" si="1"/>
        <v>G</v>
      </c>
      <c r="F100" s="293" t="s">
        <v>126</v>
      </c>
      <c r="G100" s="294">
        <v>1010</v>
      </c>
      <c r="H100" s="292" t="s">
        <v>97</v>
      </c>
      <c r="I100" s="292" t="s">
        <v>2104</v>
      </c>
      <c r="J100" s="293" t="s">
        <v>492</v>
      </c>
      <c r="K100" s="293"/>
      <c r="L100" s="293" t="s">
        <v>492</v>
      </c>
      <c r="M100" s="293" t="s">
        <v>2105</v>
      </c>
      <c r="N100" s="295">
        <v>1529</v>
      </c>
      <c r="O100" s="296" t="s">
        <v>673</v>
      </c>
      <c r="P100" s="295">
        <v>0</v>
      </c>
      <c r="Q100" s="295">
        <v>0</v>
      </c>
      <c r="R100" s="295">
        <v>-1499.18</v>
      </c>
      <c r="S100" s="295">
        <v>1359</v>
      </c>
      <c r="T100" s="295">
        <v>1359</v>
      </c>
      <c r="U100" s="295">
        <v>30</v>
      </c>
      <c r="V100" s="295">
        <v>10</v>
      </c>
      <c r="W100" s="295">
        <v>5.5</v>
      </c>
      <c r="X100" s="295">
        <v>5</v>
      </c>
      <c r="Y100" s="295">
        <v>18</v>
      </c>
      <c r="Z100" s="295">
        <v>15</v>
      </c>
      <c r="AA100" s="295">
        <v>0</v>
      </c>
      <c r="AB100" s="295">
        <v>0</v>
      </c>
      <c r="AC100" s="295">
        <v>0</v>
      </c>
      <c r="AD100" s="295">
        <v>0</v>
      </c>
      <c r="AE100" s="295">
        <v>-522.72</v>
      </c>
      <c r="AF100" s="295">
        <v>0</v>
      </c>
      <c r="AG100" s="295">
        <v>0</v>
      </c>
      <c r="AH100" s="295">
        <v>919.78</v>
      </c>
      <c r="AI100" s="362"/>
    </row>
    <row r="101" spans="1:35" ht="13.5" customHeight="1">
      <c r="A101" s="291">
        <v>425</v>
      </c>
      <c r="B101" s="291">
        <v>42778</v>
      </c>
      <c r="C101" s="292" t="s">
        <v>886</v>
      </c>
      <c r="D101" s="293" t="s">
        <v>158</v>
      </c>
      <c r="E101" s="293" t="str">
        <f t="shared" si="1"/>
        <v>1</v>
      </c>
      <c r="F101" s="293" t="s">
        <v>126</v>
      </c>
      <c r="G101" s="294">
        <v>1010</v>
      </c>
      <c r="H101" s="292" t="s">
        <v>97</v>
      </c>
      <c r="I101" s="292" t="s">
        <v>887</v>
      </c>
      <c r="J101" s="293" t="s">
        <v>283</v>
      </c>
      <c r="K101" s="293"/>
      <c r="L101" s="293" t="s">
        <v>499</v>
      </c>
      <c r="M101" s="293" t="s">
        <v>494</v>
      </c>
      <c r="N101" s="295">
        <v>1559</v>
      </c>
      <c r="O101" s="296" t="s">
        <v>673</v>
      </c>
      <c r="P101" s="295">
        <v>0</v>
      </c>
      <c r="Q101" s="295">
        <v>0</v>
      </c>
      <c r="R101" s="295">
        <v>0</v>
      </c>
      <c r="S101" s="295">
        <v>1602</v>
      </c>
      <c r="T101" s="295">
        <v>1602</v>
      </c>
      <c r="U101" s="295">
        <v>30</v>
      </c>
      <c r="V101" s="295">
        <v>10</v>
      </c>
      <c r="W101" s="295">
        <v>5.5</v>
      </c>
      <c r="X101" s="295">
        <v>5</v>
      </c>
      <c r="Y101" s="295">
        <v>18</v>
      </c>
      <c r="Z101" s="295">
        <v>0</v>
      </c>
      <c r="AA101" s="295">
        <v>0</v>
      </c>
      <c r="AB101" s="295">
        <v>35</v>
      </c>
      <c r="AC101" s="295">
        <v>0</v>
      </c>
      <c r="AD101" s="295">
        <v>0</v>
      </c>
      <c r="AE101" s="295">
        <v>0</v>
      </c>
      <c r="AF101" s="295">
        <v>0</v>
      </c>
      <c r="AG101" s="295">
        <v>0</v>
      </c>
      <c r="AH101" s="295">
        <v>1705.5</v>
      </c>
      <c r="AI101" s="362"/>
    </row>
    <row r="102" spans="1:35" ht="13.5" customHeight="1">
      <c r="A102" s="291">
        <v>11379</v>
      </c>
      <c r="B102" s="291">
        <v>43228</v>
      </c>
      <c r="C102" s="292" t="s">
        <v>888</v>
      </c>
      <c r="D102" s="293" t="s">
        <v>147</v>
      </c>
      <c r="E102" s="293" t="str">
        <f t="shared" si="1"/>
        <v>Q</v>
      </c>
      <c r="F102" s="293" t="s">
        <v>126</v>
      </c>
      <c r="G102" s="294">
        <v>1076</v>
      </c>
      <c r="H102" s="292" t="s">
        <v>97</v>
      </c>
      <c r="I102" s="292" t="s">
        <v>889</v>
      </c>
      <c r="J102" s="293" t="s">
        <v>890</v>
      </c>
      <c r="K102" s="293"/>
      <c r="L102" s="293" t="s">
        <v>1423</v>
      </c>
      <c r="M102" s="293" t="s">
        <v>2106</v>
      </c>
      <c r="N102" s="295">
        <v>1644</v>
      </c>
      <c r="O102" s="296" t="s">
        <v>673</v>
      </c>
      <c r="P102" s="295">
        <v>0</v>
      </c>
      <c r="Q102" s="295">
        <v>0</v>
      </c>
      <c r="R102" s="295">
        <v>-40.479999999999997</v>
      </c>
      <c r="S102" s="295">
        <v>1643</v>
      </c>
      <c r="T102" s="295">
        <v>1643</v>
      </c>
      <c r="U102" s="295">
        <v>30</v>
      </c>
      <c r="V102" s="295">
        <v>10</v>
      </c>
      <c r="W102" s="295">
        <v>5.5</v>
      </c>
      <c r="X102" s="295">
        <v>5</v>
      </c>
      <c r="Y102" s="295">
        <v>18</v>
      </c>
      <c r="Z102" s="295">
        <v>0</v>
      </c>
      <c r="AA102" s="295">
        <v>70</v>
      </c>
      <c r="AB102" s="295">
        <v>0</v>
      </c>
      <c r="AC102" s="295">
        <v>0</v>
      </c>
      <c r="AD102" s="295">
        <v>0</v>
      </c>
      <c r="AE102" s="295">
        <v>0</v>
      </c>
      <c r="AF102" s="295">
        <v>0</v>
      </c>
      <c r="AG102" s="295">
        <v>0</v>
      </c>
      <c r="AH102" s="295">
        <v>1781.5</v>
      </c>
      <c r="AI102" s="362"/>
    </row>
    <row r="103" spans="1:35" ht="13.5" customHeight="1">
      <c r="A103" s="291">
        <v>76</v>
      </c>
      <c r="B103" s="291">
        <v>43221</v>
      </c>
      <c r="C103" s="292" t="s">
        <v>892</v>
      </c>
      <c r="D103" s="293" t="s">
        <v>149</v>
      </c>
      <c r="E103" s="293" t="str">
        <f t="shared" si="1"/>
        <v>2</v>
      </c>
      <c r="F103" s="293" t="s">
        <v>126</v>
      </c>
      <c r="G103" s="294">
        <v>1076</v>
      </c>
      <c r="H103" s="292" t="s">
        <v>97</v>
      </c>
      <c r="I103" s="292" t="s">
        <v>893</v>
      </c>
      <c r="J103" s="293" t="s">
        <v>894</v>
      </c>
      <c r="K103" s="293"/>
      <c r="L103" s="293" t="s">
        <v>2107</v>
      </c>
      <c r="M103" s="293" t="s">
        <v>2098</v>
      </c>
      <c r="N103" s="295">
        <v>1594</v>
      </c>
      <c r="O103" s="296" t="s">
        <v>673</v>
      </c>
      <c r="P103" s="295">
        <v>666</v>
      </c>
      <c r="Q103" s="295">
        <v>666</v>
      </c>
      <c r="R103" s="295">
        <v>0</v>
      </c>
      <c r="S103" s="295">
        <v>1604</v>
      </c>
      <c r="T103" s="295">
        <v>1604</v>
      </c>
      <c r="U103" s="295">
        <v>30</v>
      </c>
      <c r="V103" s="295">
        <v>10</v>
      </c>
      <c r="W103" s="295">
        <v>5.5</v>
      </c>
      <c r="X103" s="295">
        <v>5</v>
      </c>
      <c r="Y103" s="295">
        <v>18</v>
      </c>
      <c r="Z103" s="295">
        <v>30</v>
      </c>
      <c r="AA103" s="295">
        <v>0</v>
      </c>
      <c r="AB103" s="295">
        <v>35</v>
      </c>
      <c r="AC103" s="295">
        <v>0</v>
      </c>
      <c r="AD103" s="295">
        <v>0</v>
      </c>
      <c r="AE103" s="295">
        <v>0</v>
      </c>
      <c r="AF103" s="295">
        <v>0</v>
      </c>
      <c r="AG103" s="295">
        <v>0</v>
      </c>
      <c r="AH103" s="295">
        <v>1737.5</v>
      </c>
      <c r="AI103" s="362"/>
    </row>
    <row r="104" spans="1:35" ht="13.5" customHeight="1">
      <c r="A104" s="291">
        <v>31915</v>
      </c>
      <c r="B104" s="291">
        <v>42795</v>
      </c>
      <c r="C104" s="292" t="s">
        <v>896</v>
      </c>
      <c r="D104" s="293" t="s">
        <v>677</v>
      </c>
      <c r="E104" s="293" t="str">
        <f t="shared" si="1"/>
        <v>G</v>
      </c>
      <c r="F104" s="293" t="s">
        <v>126</v>
      </c>
      <c r="G104" s="294">
        <v>1076</v>
      </c>
      <c r="H104" s="292" t="s">
        <v>97</v>
      </c>
      <c r="I104" s="292" t="s">
        <v>897</v>
      </c>
      <c r="J104" s="293" t="s">
        <v>410</v>
      </c>
      <c r="K104" s="293"/>
      <c r="L104" s="293" t="s">
        <v>410</v>
      </c>
      <c r="M104" s="293" t="s">
        <v>531</v>
      </c>
      <c r="N104" s="295">
        <v>1594</v>
      </c>
      <c r="O104" s="296" t="s">
        <v>673</v>
      </c>
      <c r="P104" s="295">
        <v>0</v>
      </c>
      <c r="Q104" s="295">
        <v>0</v>
      </c>
      <c r="R104" s="295">
        <v>-1694.81</v>
      </c>
      <c r="S104" s="295">
        <v>1544</v>
      </c>
      <c r="T104" s="295">
        <v>1544</v>
      </c>
      <c r="U104" s="295">
        <v>30</v>
      </c>
      <c r="V104" s="295">
        <v>10</v>
      </c>
      <c r="W104" s="295">
        <v>5.5</v>
      </c>
      <c r="X104" s="295">
        <v>5</v>
      </c>
      <c r="Y104" s="295">
        <v>18</v>
      </c>
      <c r="Z104" s="295">
        <v>0</v>
      </c>
      <c r="AA104" s="295">
        <v>0</v>
      </c>
      <c r="AB104" s="295">
        <v>0</v>
      </c>
      <c r="AC104" s="295">
        <v>0</v>
      </c>
      <c r="AD104" s="295">
        <v>0</v>
      </c>
      <c r="AE104" s="295">
        <v>0</v>
      </c>
      <c r="AF104" s="295">
        <v>0</v>
      </c>
      <c r="AG104" s="295">
        <v>0</v>
      </c>
      <c r="AH104" s="295">
        <v>1612.5</v>
      </c>
      <c r="AI104" s="362"/>
    </row>
    <row r="105" spans="1:35" ht="13.5" customHeight="1">
      <c r="A105" s="291">
        <v>0</v>
      </c>
      <c r="B105" s="291">
        <v>0</v>
      </c>
      <c r="C105" s="292" t="s">
        <v>898</v>
      </c>
      <c r="D105" s="293" t="s">
        <v>147</v>
      </c>
      <c r="E105" s="293" t="str">
        <f t="shared" si="1"/>
        <v>Q</v>
      </c>
      <c r="F105" s="293" t="s">
        <v>126</v>
      </c>
      <c r="G105" s="294">
        <v>1076</v>
      </c>
      <c r="H105" s="292" t="s">
        <v>140</v>
      </c>
      <c r="I105" s="292" t="s">
        <v>682</v>
      </c>
      <c r="J105" s="293"/>
      <c r="K105" s="293"/>
      <c r="L105" s="293"/>
      <c r="M105" s="293"/>
      <c r="N105" s="295">
        <v>1629</v>
      </c>
      <c r="O105" s="296"/>
      <c r="P105" s="295">
        <v>0</v>
      </c>
      <c r="Q105" s="295">
        <v>0</v>
      </c>
      <c r="R105" s="295">
        <v>0</v>
      </c>
      <c r="S105" s="295">
        <v>0</v>
      </c>
      <c r="T105" s="295">
        <v>0</v>
      </c>
      <c r="U105" s="295">
        <v>0</v>
      </c>
      <c r="V105" s="295">
        <v>0</v>
      </c>
      <c r="W105" s="295">
        <v>0</v>
      </c>
      <c r="X105" s="295">
        <v>0</v>
      </c>
      <c r="Y105" s="295">
        <v>0</v>
      </c>
      <c r="Z105" s="295">
        <v>0</v>
      </c>
      <c r="AA105" s="295">
        <v>0</v>
      </c>
      <c r="AB105" s="295">
        <v>0</v>
      </c>
      <c r="AC105" s="295">
        <v>0</v>
      </c>
      <c r="AD105" s="295">
        <v>0</v>
      </c>
      <c r="AE105" s="295">
        <v>0</v>
      </c>
      <c r="AF105" s="295">
        <v>0</v>
      </c>
      <c r="AG105" s="295">
        <v>0</v>
      </c>
      <c r="AH105" s="295">
        <v>0</v>
      </c>
      <c r="AI105" s="362"/>
    </row>
    <row r="106" spans="1:35" ht="13.5" customHeight="1">
      <c r="A106" s="291">
        <v>32159</v>
      </c>
      <c r="B106" s="291">
        <v>43259</v>
      </c>
      <c r="C106" s="292" t="s">
        <v>898</v>
      </c>
      <c r="D106" s="293" t="s">
        <v>147</v>
      </c>
      <c r="E106" s="293" t="str">
        <f t="shared" si="1"/>
        <v>Q</v>
      </c>
      <c r="F106" s="293" t="s">
        <v>126</v>
      </c>
      <c r="G106" s="294">
        <v>1076</v>
      </c>
      <c r="H106" s="292" t="s">
        <v>2082</v>
      </c>
      <c r="I106" s="292" t="s">
        <v>2108</v>
      </c>
      <c r="J106" s="293" t="s">
        <v>507</v>
      </c>
      <c r="K106" s="293"/>
      <c r="L106" s="293" t="s">
        <v>507</v>
      </c>
      <c r="M106" s="293" t="s">
        <v>1987</v>
      </c>
      <c r="N106" s="295">
        <v>0</v>
      </c>
      <c r="O106" s="296" t="s">
        <v>673</v>
      </c>
      <c r="P106" s="295">
        <v>0</v>
      </c>
      <c r="Q106" s="295">
        <v>0</v>
      </c>
      <c r="R106" s="295">
        <v>0</v>
      </c>
      <c r="S106" s="295">
        <v>1554</v>
      </c>
      <c r="T106" s="295">
        <v>1554</v>
      </c>
      <c r="U106" s="295">
        <v>30</v>
      </c>
      <c r="V106" s="295">
        <v>10</v>
      </c>
      <c r="W106" s="295">
        <v>5.5</v>
      </c>
      <c r="X106" s="295">
        <v>5</v>
      </c>
      <c r="Y106" s="295">
        <v>18</v>
      </c>
      <c r="Z106" s="295">
        <v>0</v>
      </c>
      <c r="AA106" s="295">
        <v>70</v>
      </c>
      <c r="AB106" s="295">
        <v>0</v>
      </c>
      <c r="AC106" s="295">
        <v>75</v>
      </c>
      <c r="AD106" s="295">
        <v>0</v>
      </c>
      <c r="AE106" s="295">
        <v>0</v>
      </c>
      <c r="AF106" s="295">
        <v>0</v>
      </c>
      <c r="AG106" s="295">
        <v>0</v>
      </c>
      <c r="AH106" s="295">
        <v>1767.5</v>
      </c>
      <c r="AI106" s="362"/>
    </row>
    <row r="107" spans="1:35" ht="13.5" customHeight="1">
      <c r="A107" s="291">
        <v>31988</v>
      </c>
      <c r="B107" s="291">
        <v>42924</v>
      </c>
      <c r="C107" s="292" t="s">
        <v>899</v>
      </c>
      <c r="D107" s="293" t="s">
        <v>153</v>
      </c>
      <c r="E107" s="293" t="str">
        <f t="shared" si="1"/>
        <v>F</v>
      </c>
      <c r="F107" s="293" t="s">
        <v>126</v>
      </c>
      <c r="G107" s="294">
        <v>1076</v>
      </c>
      <c r="H107" s="292" t="s">
        <v>97</v>
      </c>
      <c r="I107" s="292" t="s">
        <v>1836</v>
      </c>
      <c r="J107" s="293" t="s">
        <v>407</v>
      </c>
      <c r="K107" s="293"/>
      <c r="L107" s="293" t="s">
        <v>407</v>
      </c>
      <c r="M107" s="293" t="s">
        <v>1833</v>
      </c>
      <c r="N107" s="295">
        <v>1524</v>
      </c>
      <c r="O107" s="296" t="s">
        <v>673</v>
      </c>
      <c r="P107" s="295">
        <v>0</v>
      </c>
      <c r="Q107" s="295">
        <v>0</v>
      </c>
      <c r="R107" s="295">
        <v>0</v>
      </c>
      <c r="S107" s="295">
        <v>1554</v>
      </c>
      <c r="T107" s="295">
        <v>1554</v>
      </c>
      <c r="U107" s="295">
        <v>30</v>
      </c>
      <c r="V107" s="295">
        <v>10</v>
      </c>
      <c r="W107" s="295">
        <v>5.5</v>
      </c>
      <c r="X107" s="295">
        <v>5</v>
      </c>
      <c r="Y107" s="295">
        <v>18</v>
      </c>
      <c r="Z107" s="295">
        <v>30</v>
      </c>
      <c r="AA107" s="295">
        <v>0</v>
      </c>
      <c r="AB107" s="295">
        <v>0</v>
      </c>
      <c r="AC107" s="295">
        <v>0</v>
      </c>
      <c r="AD107" s="295">
        <v>0</v>
      </c>
      <c r="AE107" s="295">
        <v>0</v>
      </c>
      <c r="AF107" s="295">
        <v>0</v>
      </c>
      <c r="AG107" s="295">
        <v>0</v>
      </c>
      <c r="AH107" s="295">
        <v>1652.5</v>
      </c>
      <c r="AI107" s="362"/>
    </row>
    <row r="108" spans="1:35" ht="13.5" customHeight="1">
      <c r="A108" s="291">
        <v>11052</v>
      </c>
      <c r="B108" s="291">
        <v>42640</v>
      </c>
      <c r="C108" s="292" t="s">
        <v>900</v>
      </c>
      <c r="D108" s="293" t="s">
        <v>677</v>
      </c>
      <c r="E108" s="293" t="str">
        <f t="shared" si="1"/>
        <v>G</v>
      </c>
      <c r="F108" s="293" t="s">
        <v>126</v>
      </c>
      <c r="G108" s="294">
        <v>1076</v>
      </c>
      <c r="H108" s="292" t="s">
        <v>97</v>
      </c>
      <c r="I108" s="292" t="s">
        <v>901</v>
      </c>
      <c r="J108" s="293" t="s">
        <v>902</v>
      </c>
      <c r="K108" s="293"/>
      <c r="L108" s="293" t="s">
        <v>903</v>
      </c>
      <c r="M108" s="293" t="s">
        <v>485</v>
      </c>
      <c r="N108" s="295">
        <v>1594</v>
      </c>
      <c r="O108" s="296" t="s">
        <v>673</v>
      </c>
      <c r="P108" s="295">
        <v>0</v>
      </c>
      <c r="Q108" s="295">
        <v>0</v>
      </c>
      <c r="R108" s="295">
        <v>0</v>
      </c>
      <c r="S108" s="295">
        <v>1635</v>
      </c>
      <c r="T108" s="295">
        <v>1635</v>
      </c>
      <c r="U108" s="295">
        <v>30</v>
      </c>
      <c r="V108" s="295">
        <v>10</v>
      </c>
      <c r="W108" s="295">
        <v>5.5</v>
      </c>
      <c r="X108" s="295">
        <v>5</v>
      </c>
      <c r="Y108" s="295">
        <v>18</v>
      </c>
      <c r="Z108" s="295">
        <v>30</v>
      </c>
      <c r="AA108" s="295">
        <v>0</v>
      </c>
      <c r="AB108" s="295">
        <v>35</v>
      </c>
      <c r="AC108" s="295">
        <v>0</v>
      </c>
      <c r="AD108" s="295">
        <v>0</v>
      </c>
      <c r="AE108" s="295">
        <v>0</v>
      </c>
      <c r="AF108" s="295">
        <v>0</v>
      </c>
      <c r="AG108" s="295">
        <v>0</v>
      </c>
      <c r="AH108" s="295">
        <v>1768.5</v>
      </c>
      <c r="AI108" s="362"/>
    </row>
    <row r="109" spans="1:35" ht="13.5" customHeight="1">
      <c r="A109" s="291">
        <v>32138</v>
      </c>
      <c r="B109" s="291">
        <v>43208</v>
      </c>
      <c r="C109" s="292" t="s">
        <v>904</v>
      </c>
      <c r="D109" s="293" t="s">
        <v>147</v>
      </c>
      <c r="E109" s="293" t="str">
        <f t="shared" si="1"/>
        <v>Q</v>
      </c>
      <c r="F109" s="293" t="s">
        <v>126</v>
      </c>
      <c r="G109" s="294">
        <v>1076</v>
      </c>
      <c r="H109" s="292" t="s">
        <v>97</v>
      </c>
      <c r="I109" s="292" t="s">
        <v>2109</v>
      </c>
      <c r="J109" s="293" t="s">
        <v>476</v>
      </c>
      <c r="K109" s="293"/>
      <c r="L109" s="293" t="s">
        <v>476</v>
      </c>
      <c r="M109" s="293" t="s">
        <v>2110</v>
      </c>
      <c r="N109" s="295">
        <v>1614</v>
      </c>
      <c r="O109" s="296" t="s">
        <v>673</v>
      </c>
      <c r="P109" s="295">
        <v>0</v>
      </c>
      <c r="Q109" s="295">
        <v>0</v>
      </c>
      <c r="R109" s="295">
        <v>0</v>
      </c>
      <c r="S109" s="295">
        <v>1614</v>
      </c>
      <c r="T109" s="295">
        <v>1614</v>
      </c>
      <c r="U109" s="295">
        <v>30</v>
      </c>
      <c r="V109" s="295">
        <v>10</v>
      </c>
      <c r="W109" s="295">
        <v>5.5</v>
      </c>
      <c r="X109" s="295">
        <v>5</v>
      </c>
      <c r="Y109" s="295">
        <v>18</v>
      </c>
      <c r="Z109" s="295">
        <v>0</v>
      </c>
      <c r="AA109" s="295">
        <v>70</v>
      </c>
      <c r="AB109" s="295">
        <v>0</v>
      </c>
      <c r="AC109" s="295">
        <v>0</v>
      </c>
      <c r="AD109" s="295">
        <v>0</v>
      </c>
      <c r="AE109" s="295">
        <v>-1000</v>
      </c>
      <c r="AF109" s="295">
        <v>0</v>
      </c>
      <c r="AG109" s="295">
        <v>0</v>
      </c>
      <c r="AH109" s="295">
        <v>752.5</v>
      </c>
      <c r="AI109" s="362"/>
    </row>
    <row r="110" spans="1:35" ht="13.5" customHeight="1">
      <c r="A110" s="291">
        <v>32014</v>
      </c>
      <c r="B110" s="291">
        <v>42975</v>
      </c>
      <c r="C110" s="292" t="s">
        <v>905</v>
      </c>
      <c r="D110" s="293" t="s">
        <v>153</v>
      </c>
      <c r="E110" s="293" t="str">
        <f t="shared" si="1"/>
        <v>F</v>
      </c>
      <c r="F110" s="293" t="s">
        <v>126</v>
      </c>
      <c r="G110" s="294">
        <v>1076</v>
      </c>
      <c r="H110" s="292" t="s">
        <v>97</v>
      </c>
      <c r="I110" s="292" t="s">
        <v>1839</v>
      </c>
      <c r="J110" s="293" t="s">
        <v>402</v>
      </c>
      <c r="K110" s="293"/>
      <c r="L110" s="293" t="s">
        <v>402</v>
      </c>
      <c r="M110" s="293" t="s">
        <v>1840</v>
      </c>
      <c r="N110" s="295">
        <v>1494</v>
      </c>
      <c r="O110" s="296" t="s">
        <v>673</v>
      </c>
      <c r="P110" s="295">
        <v>0</v>
      </c>
      <c r="Q110" s="295">
        <v>0</v>
      </c>
      <c r="R110" s="295">
        <v>0</v>
      </c>
      <c r="S110" s="295">
        <v>1434</v>
      </c>
      <c r="T110" s="295">
        <v>1434</v>
      </c>
      <c r="U110" s="295">
        <v>30</v>
      </c>
      <c r="V110" s="295">
        <v>10</v>
      </c>
      <c r="W110" s="295">
        <v>5.5</v>
      </c>
      <c r="X110" s="295">
        <v>5</v>
      </c>
      <c r="Y110" s="295">
        <v>18</v>
      </c>
      <c r="Z110" s="295">
        <v>15</v>
      </c>
      <c r="AA110" s="295">
        <v>0</v>
      </c>
      <c r="AB110" s="295">
        <v>0</v>
      </c>
      <c r="AC110" s="295">
        <v>0</v>
      </c>
      <c r="AD110" s="295">
        <v>0</v>
      </c>
      <c r="AE110" s="295">
        <v>0</v>
      </c>
      <c r="AF110" s="295">
        <v>0</v>
      </c>
      <c r="AG110" s="295">
        <v>0</v>
      </c>
      <c r="AH110" s="295">
        <v>1517.5</v>
      </c>
      <c r="AI110" s="362"/>
    </row>
    <row r="111" spans="1:35" ht="13.5" customHeight="1">
      <c r="A111" s="291">
        <v>102</v>
      </c>
      <c r="B111" s="291">
        <v>43253</v>
      </c>
      <c r="C111" s="292" t="s">
        <v>906</v>
      </c>
      <c r="D111" s="293" t="s">
        <v>169</v>
      </c>
      <c r="E111" s="293" t="str">
        <f t="shared" si="1"/>
        <v>3</v>
      </c>
      <c r="F111" s="293" t="s">
        <v>126</v>
      </c>
      <c r="G111" s="294">
        <v>825</v>
      </c>
      <c r="H111" s="292" t="s">
        <v>97</v>
      </c>
      <c r="I111" s="292" t="s">
        <v>907</v>
      </c>
      <c r="J111" s="293" t="s">
        <v>908</v>
      </c>
      <c r="K111" s="293"/>
      <c r="L111" s="293" t="s">
        <v>1622</v>
      </c>
      <c r="M111" s="293" t="s">
        <v>1957</v>
      </c>
      <c r="N111" s="295">
        <v>1394</v>
      </c>
      <c r="O111" s="296" t="s">
        <v>673</v>
      </c>
      <c r="P111" s="295">
        <v>0</v>
      </c>
      <c r="Q111" s="295">
        <v>0</v>
      </c>
      <c r="R111" s="295">
        <v>38.04</v>
      </c>
      <c r="S111" s="295">
        <v>1368</v>
      </c>
      <c r="T111" s="295">
        <v>1368</v>
      </c>
      <c r="U111" s="295">
        <v>30</v>
      </c>
      <c r="V111" s="295">
        <v>10</v>
      </c>
      <c r="W111" s="295">
        <v>5.5</v>
      </c>
      <c r="X111" s="295">
        <v>5</v>
      </c>
      <c r="Y111" s="295">
        <v>18</v>
      </c>
      <c r="Z111" s="295">
        <v>0</v>
      </c>
      <c r="AA111" s="295">
        <v>70</v>
      </c>
      <c r="AB111" s="295">
        <v>0</v>
      </c>
      <c r="AC111" s="295">
        <v>0</v>
      </c>
      <c r="AD111" s="295">
        <v>250</v>
      </c>
      <c r="AE111" s="295">
        <v>0</v>
      </c>
      <c r="AF111" s="295">
        <v>0</v>
      </c>
      <c r="AG111" s="295">
        <v>0</v>
      </c>
      <c r="AH111" s="295">
        <v>1756.5</v>
      </c>
      <c r="AI111" s="362"/>
    </row>
    <row r="112" spans="1:35" ht="13.5" customHeight="1">
      <c r="A112" s="291">
        <v>31631</v>
      </c>
      <c r="B112" s="291">
        <v>42927</v>
      </c>
      <c r="C112" s="292" t="s">
        <v>909</v>
      </c>
      <c r="D112" s="293" t="s">
        <v>691</v>
      </c>
      <c r="E112" s="293" t="str">
        <f t="shared" si="1"/>
        <v>G</v>
      </c>
      <c r="F112" s="293" t="s">
        <v>126</v>
      </c>
      <c r="G112" s="294">
        <v>825</v>
      </c>
      <c r="H112" s="292" t="s">
        <v>97</v>
      </c>
      <c r="I112" s="292" t="s">
        <v>910</v>
      </c>
      <c r="J112" s="293" t="s">
        <v>335</v>
      </c>
      <c r="K112" s="293"/>
      <c r="L112" s="293" t="s">
        <v>811</v>
      </c>
      <c r="M112" s="293" t="s">
        <v>1833</v>
      </c>
      <c r="N112" s="295">
        <v>1364</v>
      </c>
      <c r="O112" s="296" t="s">
        <v>673</v>
      </c>
      <c r="P112" s="295">
        <v>0</v>
      </c>
      <c r="Q112" s="295">
        <v>0</v>
      </c>
      <c r="R112" s="295">
        <v>0</v>
      </c>
      <c r="S112" s="295">
        <v>1394</v>
      </c>
      <c r="T112" s="295">
        <v>1394</v>
      </c>
      <c r="U112" s="295">
        <v>30</v>
      </c>
      <c r="V112" s="295">
        <v>10</v>
      </c>
      <c r="W112" s="295">
        <v>5.5</v>
      </c>
      <c r="X112" s="295">
        <v>5</v>
      </c>
      <c r="Y112" s="295">
        <v>18</v>
      </c>
      <c r="Z112" s="295">
        <v>30</v>
      </c>
      <c r="AA112" s="295">
        <v>0</v>
      </c>
      <c r="AB112" s="295">
        <v>0</v>
      </c>
      <c r="AC112" s="295">
        <v>0</v>
      </c>
      <c r="AD112" s="295">
        <v>0</v>
      </c>
      <c r="AE112" s="295">
        <v>0</v>
      </c>
      <c r="AF112" s="295">
        <v>0</v>
      </c>
      <c r="AG112" s="295">
        <v>0</v>
      </c>
      <c r="AH112" s="295">
        <v>1492.5</v>
      </c>
      <c r="AI112" s="362"/>
    </row>
    <row r="113" spans="1:35" ht="13.5" customHeight="1">
      <c r="A113" s="291">
        <v>32002</v>
      </c>
      <c r="B113" s="291">
        <v>42948</v>
      </c>
      <c r="C113" s="292" t="s">
        <v>911</v>
      </c>
      <c r="D113" s="293" t="s">
        <v>180</v>
      </c>
      <c r="E113" s="293" t="str">
        <f t="shared" si="1"/>
        <v>Q</v>
      </c>
      <c r="F113" s="293" t="s">
        <v>126</v>
      </c>
      <c r="G113" s="294">
        <v>825</v>
      </c>
      <c r="H113" s="292" t="s">
        <v>97</v>
      </c>
      <c r="I113" s="292" t="s">
        <v>1841</v>
      </c>
      <c r="J113" s="293" t="s">
        <v>1324</v>
      </c>
      <c r="K113" s="293"/>
      <c r="L113" s="293" t="s">
        <v>1324</v>
      </c>
      <c r="M113" s="293" t="s">
        <v>1799</v>
      </c>
      <c r="N113" s="295">
        <v>1404</v>
      </c>
      <c r="O113" s="296" t="s">
        <v>673</v>
      </c>
      <c r="P113" s="295">
        <v>0</v>
      </c>
      <c r="Q113" s="295">
        <v>0</v>
      </c>
      <c r="R113" s="295">
        <v>0</v>
      </c>
      <c r="S113" s="295">
        <v>1344</v>
      </c>
      <c r="T113" s="295">
        <v>1344</v>
      </c>
      <c r="U113" s="295">
        <v>30</v>
      </c>
      <c r="V113" s="295">
        <v>10</v>
      </c>
      <c r="W113" s="295">
        <v>5.5</v>
      </c>
      <c r="X113" s="295">
        <v>5</v>
      </c>
      <c r="Y113" s="295">
        <v>18</v>
      </c>
      <c r="Z113" s="295">
        <v>15</v>
      </c>
      <c r="AA113" s="295">
        <v>0</v>
      </c>
      <c r="AB113" s="295">
        <v>0</v>
      </c>
      <c r="AC113" s="295">
        <v>0</v>
      </c>
      <c r="AD113" s="295">
        <v>0</v>
      </c>
      <c r="AE113" s="295">
        <v>0</v>
      </c>
      <c r="AF113" s="295">
        <v>0</v>
      </c>
      <c r="AG113" s="295">
        <v>0</v>
      </c>
      <c r="AH113" s="295">
        <v>1427.5</v>
      </c>
      <c r="AI113" s="362"/>
    </row>
    <row r="114" spans="1:35" ht="13.5" customHeight="1">
      <c r="A114" s="291">
        <v>32140</v>
      </c>
      <c r="B114" s="291">
        <v>43216</v>
      </c>
      <c r="C114" s="292" t="s">
        <v>912</v>
      </c>
      <c r="D114" s="293" t="s">
        <v>171</v>
      </c>
      <c r="E114" s="293" t="str">
        <f t="shared" si="1"/>
        <v>F</v>
      </c>
      <c r="F114" s="293" t="s">
        <v>126</v>
      </c>
      <c r="G114" s="294">
        <v>825</v>
      </c>
      <c r="H114" s="292" t="s">
        <v>97</v>
      </c>
      <c r="I114" s="292" t="s">
        <v>2111</v>
      </c>
      <c r="J114" s="293" t="s">
        <v>2092</v>
      </c>
      <c r="K114" s="293"/>
      <c r="L114" s="293" t="s">
        <v>2092</v>
      </c>
      <c r="M114" s="293" t="s">
        <v>2112</v>
      </c>
      <c r="N114" s="295">
        <v>1294</v>
      </c>
      <c r="O114" s="296" t="s">
        <v>673</v>
      </c>
      <c r="P114" s="295">
        <v>0</v>
      </c>
      <c r="Q114" s="295">
        <v>0</v>
      </c>
      <c r="R114" s="295">
        <v>0</v>
      </c>
      <c r="S114" s="295">
        <v>1219</v>
      </c>
      <c r="T114" s="295">
        <v>1219</v>
      </c>
      <c r="U114" s="295">
        <v>30</v>
      </c>
      <c r="V114" s="295">
        <v>10</v>
      </c>
      <c r="W114" s="295">
        <v>5.5</v>
      </c>
      <c r="X114" s="295">
        <v>5</v>
      </c>
      <c r="Y114" s="295">
        <v>18</v>
      </c>
      <c r="Z114" s="295">
        <v>0</v>
      </c>
      <c r="AA114" s="295">
        <v>70</v>
      </c>
      <c r="AB114" s="295">
        <v>0</v>
      </c>
      <c r="AC114" s="295">
        <v>75</v>
      </c>
      <c r="AD114" s="295">
        <v>0</v>
      </c>
      <c r="AE114" s="295">
        <v>0</v>
      </c>
      <c r="AF114" s="295">
        <v>0</v>
      </c>
      <c r="AG114" s="295">
        <v>0</v>
      </c>
      <c r="AH114" s="295">
        <v>1432.5</v>
      </c>
      <c r="AI114" s="362"/>
    </row>
    <row r="115" spans="1:35" ht="13.5" customHeight="1">
      <c r="A115" s="291">
        <v>31506</v>
      </c>
      <c r="B115" s="291">
        <v>42684</v>
      </c>
      <c r="C115" s="292" t="s">
        <v>913</v>
      </c>
      <c r="D115" s="293" t="s">
        <v>180</v>
      </c>
      <c r="E115" s="293" t="str">
        <f t="shared" si="1"/>
        <v>Q</v>
      </c>
      <c r="F115" s="293" t="s">
        <v>126</v>
      </c>
      <c r="G115" s="294">
        <v>825</v>
      </c>
      <c r="H115" s="292" t="s">
        <v>97</v>
      </c>
      <c r="I115" s="292" t="s">
        <v>914</v>
      </c>
      <c r="J115" s="293" t="s">
        <v>915</v>
      </c>
      <c r="K115" s="293"/>
      <c r="L115" s="293" t="s">
        <v>393</v>
      </c>
      <c r="M115" s="293" t="s">
        <v>916</v>
      </c>
      <c r="N115" s="295">
        <v>1404</v>
      </c>
      <c r="O115" s="296" t="s">
        <v>673</v>
      </c>
      <c r="P115" s="295">
        <v>0</v>
      </c>
      <c r="Q115" s="295">
        <v>0</v>
      </c>
      <c r="R115" s="295">
        <v>0</v>
      </c>
      <c r="S115" s="295">
        <v>1464</v>
      </c>
      <c r="T115" s="295">
        <v>1464</v>
      </c>
      <c r="U115" s="295">
        <v>30</v>
      </c>
      <c r="V115" s="295">
        <v>10</v>
      </c>
      <c r="W115" s="295">
        <v>5.5</v>
      </c>
      <c r="X115" s="295">
        <v>5</v>
      </c>
      <c r="Y115" s="295">
        <v>18</v>
      </c>
      <c r="Z115" s="295">
        <v>15</v>
      </c>
      <c r="AA115" s="295">
        <v>0</v>
      </c>
      <c r="AB115" s="295">
        <v>0</v>
      </c>
      <c r="AC115" s="295">
        <v>0</v>
      </c>
      <c r="AD115" s="295">
        <v>0</v>
      </c>
      <c r="AE115" s="295">
        <v>0</v>
      </c>
      <c r="AF115" s="295">
        <v>0</v>
      </c>
      <c r="AG115" s="295">
        <v>0</v>
      </c>
      <c r="AH115" s="295">
        <v>1547.5</v>
      </c>
      <c r="AI115" s="362"/>
    </row>
    <row r="116" spans="1:35" ht="13.5" customHeight="1">
      <c r="A116" s="291">
        <v>32042</v>
      </c>
      <c r="B116" s="291">
        <v>43043</v>
      </c>
      <c r="C116" s="292" t="s">
        <v>917</v>
      </c>
      <c r="D116" s="293" t="s">
        <v>691</v>
      </c>
      <c r="E116" s="293" t="str">
        <f t="shared" si="1"/>
        <v>G</v>
      </c>
      <c r="F116" s="293" t="s">
        <v>126</v>
      </c>
      <c r="G116" s="294">
        <v>825</v>
      </c>
      <c r="H116" s="292" t="s">
        <v>97</v>
      </c>
      <c r="I116" s="292" t="s">
        <v>1960</v>
      </c>
      <c r="J116" s="293" t="s">
        <v>1961</v>
      </c>
      <c r="K116" s="293"/>
      <c r="L116" s="293" t="s">
        <v>1961</v>
      </c>
      <c r="M116" s="293" t="s">
        <v>1962</v>
      </c>
      <c r="N116" s="295">
        <v>1364</v>
      </c>
      <c r="O116" s="296" t="s">
        <v>673</v>
      </c>
      <c r="P116" s="295">
        <v>0</v>
      </c>
      <c r="Q116" s="295">
        <v>0</v>
      </c>
      <c r="R116" s="295">
        <v>-1419.04</v>
      </c>
      <c r="S116" s="295">
        <v>1294</v>
      </c>
      <c r="T116" s="295">
        <v>1294</v>
      </c>
      <c r="U116" s="295">
        <v>30</v>
      </c>
      <c r="V116" s="295">
        <v>10</v>
      </c>
      <c r="W116" s="295">
        <v>5.5</v>
      </c>
      <c r="X116" s="295">
        <v>5</v>
      </c>
      <c r="Y116" s="295">
        <v>18</v>
      </c>
      <c r="Z116" s="295">
        <v>15</v>
      </c>
      <c r="AA116" s="295">
        <v>0</v>
      </c>
      <c r="AB116" s="295">
        <v>0</v>
      </c>
      <c r="AC116" s="295">
        <v>0</v>
      </c>
      <c r="AD116" s="295">
        <v>0</v>
      </c>
      <c r="AE116" s="295">
        <v>0</v>
      </c>
      <c r="AF116" s="295">
        <v>0</v>
      </c>
      <c r="AG116" s="295">
        <v>0</v>
      </c>
      <c r="AH116" s="295">
        <v>1377.5</v>
      </c>
      <c r="AI116" s="362"/>
    </row>
    <row r="117" spans="1:35" ht="13.5" customHeight="1">
      <c r="A117" s="291">
        <v>31498</v>
      </c>
      <c r="B117" s="291">
        <v>43078</v>
      </c>
      <c r="C117" s="292" t="s">
        <v>919</v>
      </c>
      <c r="D117" s="293" t="s">
        <v>171</v>
      </c>
      <c r="E117" s="293" t="str">
        <f t="shared" si="1"/>
        <v>F</v>
      </c>
      <c r="F117" s="293" t="s">
        <v>126</v>
      </c>
      <c r="G117" s="294">
        <v>825</v>
      </c>
      <c r="H117" s="292" t="s">
        <v>97</v>
      </c>
      <c r="I117" s="292" t="s">
        <v>920</v>
      </c>
      <c r="J117" s="293" t="s">
        <v>921</v>
      </c>
      <c r="K117" s="293"/>
      <c r="L117" s="293" t="s">
        <v>418</v>
      </c>
      <c r="M117" s="293" t="s">
        <v>1963</v>
      </c>
      <c r="N117" s="295">
        <v>1294</v>
      </c>
      <c r="O117" s="296" t="s">
        <v>673</v>
      </c>
      <c r="P117" s="295">
        <v>0</v>
      </c>
      <c r="Q117" s="295">
        <v>0</v>
      </c>
      <c r="R117" s="295">
        <v>0</v>
      </c>
      <c r="S117" s="295">
        <v>1354</v>
      </c>
      <c r="T117" s="295">
        <v>1354</v>
      </c>
      <c r="U117" s="295">
        <v>30</v>
      </c>
      <c r="V117" s="295">
        <v>10</v>
      </c>
      <c r="W117" s="295">
        <v>5.5</v>
      </c>
      <c r="X117" s="295">
        <v>5</v>
      </c>
      <c r="Y117" s="295">
        <v>18</v>
      </c>
      <c r="Z117" s="295">
        <v>15</v>
      </c>
      <c r="AA117" s="295">
        <v>0</v>
      </c>
      <c r="AB117" s="295">
        <v>0</v>
      </c>
      <c r="AC117" s="295">
        <v>75</v>
      </c>
      <c r="AD117" s="295">
        <v>0</v>
      </c>
      <c r="AE117" s="295">
        <v>0</v>
      </c>
      <c r="AF117" s="295">
        <v>0</v>
      </c>
      <c r="AG117" s="295">
        <v>0</v>
      </c>
      <c r="AH117" s="295">
        <v>1512.5</v>
      </c>
      <c r="AI117" s="362"/>
    </row>
    <row r="118" spans="1:35" ht="13.5" customHeight="1">
      <c r="A118" s="291">
        <v>31641</v>
      </c>
      <c r="B118" s="291">
        <v>42938</v>
      </c>
      <c r="C118" s="292" t="s">
        <v>922</v>
      </c>
      <c r="D118" s="293" t="s">
        <v>180</v>
      </c>
      <c r="E118" s="293" t="str">
        <f t="shared" si="1"/>
        <v>Q</v>
      </c>
      <c r="F118" s="293" t="s">
        <v>126</v>
      </c>
      <c r="G118" s="294">
        <v>825</v>
      </c>
      <c r="H118" s="292" t="s">
        <v>97</v>
      </c>
      <c r="I118" s="292" t="s">
        <v>923</v>
      </c>
      <c r="J118" s="293" t="s">
        <v>349</v>
      </c>
      <c r="K118" s="293"/>
      <c r="L118" s="293" t="s">
        <v>1953</v>
      </c>
      <c r="M118" s="293" t="s">
        <v>1835</v>
      </c>
      <c r="N118" s="295">
        <v>1404</v>
      </c>
      <c r="O118" s="296" t="s">
        <v>673</v>
      </c>
      <c r="P118" s="295">
        <v>0</v>
      </c>
      <c r="Q118" s="295">
        <v>0</v>
      </c>
      <c r="R118" s="295">
        <v>-1600.92</v>
      </c>
      <c r="S118" s="295">
        <v>1464</v>
      </c>
      <c r="T118" s="295">
        <v>1464</v>
      </c>
      <c r="U118" s="295">
        <v>30</v>
      </c>
      <c r="V118" s="295">
        <v>10</v>
      </c>
      <c r="W118" s="295">
        <v>5.5</v>
      </c>
      <c r="X118" s="295">
        <v>5</v>
      </c>
      <c r="Y118" s="295">
        <v>18</v>
      </c>
      <c r="Z118" s="295">
        <v>15</v>
      </c>
      <c r="AA118" s="295">
        <v>0</v>
      </c>
      <c r="AB118" s="295">
        <v>0</v>
      </c>
      <c r="AC118" s="295">
        <v>0</v>
      </c>
      <c r="AD118" s="295">
        <v>0</v>
      </c>
      <c r="AE118" s="295">
        <v>0</v>
      </c>
      <c r="AF118" s="295">
        <v>0</v>
      </c>
      <c r="AG118" s="295">
        <v>0</v>
      </c>
      <c r="AH118" s="295">
        <v>1547.5</v>
      </c>
      <c r="AI118" s="362"/>
    </row>
    <row r="119" spans="1:35" ht="13.5" customHeight="1">
      <c r="A119" s="291">
        <v>32150</v>
      </c>
      <c r="B119" s="291">
        <v>43240</v>
      </c>
      <c r="C119" s="292" t="s">
        <v>924</v>
      </c>
      <c r="D119" s="293" t="s">
        <v>139</v>
      </c>
      <c r="E119" s="293" t="str">
        <f t="shared" si="1"/>
        <v>Q</v>
      </c>
      <c r="F119" s="293" t="s">
        <v>126</v>
      </c>
      <c r="G119" s="294">
        <v>600</v>
      </c>
      <c r="H119" s="292" t="s">
        <v>97</v>
      </c>
      <c r="I119" s="292" t="s">
        <v>2113</v>
      </c>
      <c r="J119" s="293" t="s">
        <v>453</v>
      </c>
      <c r="K119" s="293"/>
      <c r="L119" s="293" t="s">
        <v>453</v>
      </c>
      <c r="M119" s="293" t="s">
        <v>2114</v>
      </c>
      <c r="N119" s="295">
        <v>1294</v>
      </c>
      <c r="O119" s="296" t="s">
        <v>673</v>
      </c>
      <c r="P119" s="295">
        <v>0</v>
      </c>
      <c r="Q119" s="295">
        <v>0</v>
      </c>
      <c r="R119" s="295">
        <v>-0.65</v>
      </c>
      <c r="S119" s="295">
        <v>1294</v>
      </c>
      <c r="T119" s="295">
        <v>1294</v>
      </c>
      <c r="U119" s="295">
        <v>30</v>
      </c>
      <c r="V119" s="295">
        <v>10</v>
      </c>
      <c r="W119" s="295">
        <v>5.5</v>
      </c>
      <c r="X119" s="295">
        <v>5</v>
      </c>
      <c r="Y119" s="295">
        <v>18</v>
      </c>
      <c r="Z119" s="295">
        <v>0</v>
      </c>
      <c r="AA119" s="295">
        <v>70</v>
      </c>
      <c r="AB119" s="295">
        <v>0</v>
      </c>
      <c r="AC119" s="295">
        <v>0</v>
      </c>
      <c r="AD119" s="295">
        <v>0</v>
      </c>
      <c r="AE119" s="295">
        <v>0</v>
      </c>
      <c r="AF119" s="295">
        <v>0</v>
      </c>
      <c r="AG119" s="295">
        <v>0</v>
      </c>
      <c r="AH119" s="295">
        <v>1432.5</v>
      </c>
      <c r="AI119" s="362"/>
    </row>
    <row r="120" spans="1:35" ht="13.5" customHeight="1">
      <c r="A120" s="291">
        <v>0</v>
      </c>
      <c r="B120" s="291">
        <v>0</v>
      </c>
      <c r="C120" s="292" t="s">
        <v>926</v>
      </c>
      <c r="D120" s="293" t="s">
        <v>279</v>
      </c>
      <c r="E120" s="293" t="str">
        <f t="shared" si="1"/>
        <v>G</v>
      </c>
      <c r="F120" s="293" t="s">
        <v>126</v>
      </c>
      <c r="G120" s="294">
        <v>600</v>
      </c>
      <c r="H120" s="292" t="s">
        <v>101</v>
      </c>
      <c r="I120" s="292" t="s">
        <v>682</v>
      </c>
      <c r="J120" s="293"/>
      <c r="K120" s="293"/>
      <c r="L120" s="293"/>
      <c r="M120" s="293"/>
      <c r="N120" s="295">
        <v>1254</v>
      </c>
      <c r="O120" s="296"/>
      <c r="P120" s="295">
        <v>0</v>
      </c>
      <c r="Q120" s="295">
        <v>0</v>
      </c>
      <c r="R120" s="295">
        <v>0</v>
      </c>
      <c r="S120" s="295">
        <v>0</v>
      </c>
      <c r="T120" s="295">
        <v>0</v>
      </c>
      <c r="U120" s="295">
        <v>0</v>
      </c>
      <c r="V120" s="295">
        <v>0</v>
      </c>
      <c r="W120" s="295">
        <v>0</v>
      </c>
      <c r="X120" s="295">
        <v>0</v>
      </c>
      <c r="Y120" s="295">
        <v>0</v>
      </c>
      <c r="Z120" s="295">
        <v>0</v>
      </c>
      <c r="AA120" s="295">
        <v>0</v>
      </c>
      <c r="AB120" s="295">
        <v>0</v>
      </c>
      <c r="AC120" s="295">
        <v>0</v>
      </c>
      <c r="AD120" s="295">
        <v>0</v>
      </c>
      <c r="AE120" s="295">
        <v>0</v>
      </c>
      <c r="AF120" s="295">
        <v>0</v>
      </c>
      <c r="AG120" s="295">
        <v>0</v>
      </c>
      <c r="AH120" s="295">
        <v>0</v>
      </c>
      <c r="AI120" s="362"/>
    </row>
    <row r="121" spans="1:35" ht="13.5" customHeight="1">
      <c r="A121" s="291">
        <v>31980</v>
      </c>
      <c r="B121" s="291">
        <v>42916</v>
      </c>
      <c r="C121" s="292" t="s">
        <v>928</v>
      </c>
      <c r="D121" s="293" t="s">
        <v>139</v>
      </c>
      <c r="E121" s="293" t="str">
        <f t="shared" si="1"/>
        <v>Q</v>
      </c>
      <c r="F121" s="293" t="s">
        <v>126</v>
      </c>
      <c r="G121" s="294">
        <v>600</v>
      </c>
      <c r="H121" s="292" t="s">
        <v>97</v>
      </c>
      <c r="I121" s="292" t="s">
        <v>1842</v>
      </c>
      <c r="J121" s="293" t="s">
        <v>419</v>
      </c>
      <c r="K121" s="293"/>
      <c r="L121" s="293" t="s">
        <v>419</v>
      </c>
      <c r="M121" s="293" t="s">
        <v>1799</v>
      </c>
      <c r="N121" s="295">
        <v>1294</v>
      </c>
      <c r="O121" s="296" t="s">
        <v>673</v>
      </c>
      <c r="P121" s="295">
        <v>0</v>
      </c>
      <c r="Q121" s="295">
        <v>0</v>
      </c>
      <c r="R121" s="295">
        <v>0</v>
      </c>
      <c r="S121" s="295">
        <v>1264</v>
      </c>
      <c r="T121" s="295">
        <v>1264</v>
      </c>
      <c r="U121" s="295">
        <v>30</v>
      </c>
      <c r="V121" s="295">
        <v>10</v>
      </c>
      <c r="W121" s="295">
        <v>5.5</v>
      </c>
      <c r="X121" s="295">
        <v>5</v>
      </c>
      <c r="Y121" s="295">
        <v>0</v>
      </c>
      <c r="Z121" s="295">
        <v>15</v>
      </c>
      <c r="AA121" s="295">
        <v>0</v>
      </c>
      <c r="AB121" s="295">
        <v>0</v>
      </c>
      <c r="AC121" s="295">
        <v>0</v>
      </c>
      <c r="AD121" s="295">
        <v>0</v>
      </c>
      <c r="AE121" s="295">
        <v>0</v>
      </c>
      <c r="AF121" s="295">
        <v>0</v>
      </c>
      <c r="AG121" s="295">
        <v>0</v>
      </c>
      <c r="AH121" s="295">
        <v>1329.5</v>
      </c>
      <c r="AI121" s="362"/>
    </row>
    <row r="122" spans="1:35" ht="13.5" customHeight="1">
      <c r="A122" s="291">
        <v>31453</v>
      </c>
      <c r="B122" s="291">
        <v>42692</v>
      </c>
      <c r="C122" s="292" t="s">
        <v>929</v>
      </c>
      <c r="D122" s="293" t="s">
        <v>139</v>
      </c>
      <c r="E122" s="293" t="str">
        <f t="shared" si="1"/>
        <v>Q</v>
      </c>
      <c r="F122" s="293" t="s">
        <v>126</v>
      </c>
      <c r="G122" s="294">
        <v>600</v>
      </c>
      <c r="H122" s="292" t="s">
        <v>97</v>
      </c>
      <c r="I122" s="292" t="s">
        <v>930</v>
      </c>
      <c r="J122" s="293" t="s">
        <v>931</v>
      </c>
      <c r="K122" s="293"/>
      <c r="L122" s="293" t="s">
        <v>394</v>
      </c>
      <c r="M122" s="293" t="s">
        <v>500</v>
      </c>
      <c r="N122" s="295">
        <v>1294</v>
      </c>
      <c r="O122" s="296" t="s">
        <v>673</v>
      </c>
      <c r="P122" s="295">
        <v>0</v>
      </c>
      <c r="Q122" s="295">
        <v>0</v>
      </c>
      <c r="R122" s="295">
        <v>0</v>
      </c>
      <c r="S122" s="295">
        <v>1304</v>
      </c>
      <c r="T122" s="295">
        <v>1304</v>
      </c>
      <c r="U122" s="295">
        <v>30</v>
      </c>
      <c r="V122" s="295">
        <v>10</v>
      </c>
      <c r="W122" s="295">
        <v>5.5</v>
      </c>
      <c r="X122" s="295">
        <v>5</v>
      </c>
      <c r="Y122" s="295">
        <v>18</v>
      </c>
      <c r="Z122" s="295">
        <v>15</v>
      </c>
      <c r="AA122" s="295">
        <v>0</v>
      </c>
      <c r="AB122" s="295">
        <v>0</v>
      </c>
      <c r="AC122" s="295">
        <v>0</v>
      </c>
      <c r="AD122" s="295">
        <v>0</v>
      </c>
      <c r="AE122" s="295">
        <v>0</v>
      </c>
      <c r="AF122" s="295">
        <v>0</v>
      </c>
      <c r="AG122" s="295">
        <v>0</v>
      </c>
      <c r="AH122" s="295">
        <v>1387.5</v>
      </c>
      <c r="AI122" s="362"/>
    </row>
    <row r="123" spans="1:35" ht="13.5" customHeight="1">
      <c r="A123" s="291">
        <v>0</v>
      </c>
      <c r="B123" s="291">
        <v>0</v>
      </c>
      <c r="C123" s="292" t="s">
        <v>932</v>
      </c>
      <c r="D123" s="293" t="s">
        <v>139</v>
      </c>
      <c r="E123" s="293" t="str">
        <f t="shared" si="1"/>
        <v>Q</v>
      </c>
      <c r="F123" s="293" t="s">
        <v>126</v>
      </c>
      <c r="G123" s="294">
        <v>600</v>
      </c>
      <c r="H123" s="292" t="s">
        <v>101</v>
      </c>
      <c r="I123" s="292" t="s">
        <v>682</v>
      </c>
      <c r="J123" s="293"/>
      <c r="K123" s="293"/>
      <c r="L123" s="293"/>
      <c r="M123" s="293"/>
      <c r="N123" s="295">
        <v>1264</v>
      </c>
      <c r="O123" s="296"/>
      <c r="P123" s="295">
        <v>0</v>
      </c>
      <c r="Q123" s="295">
        <v>0</v>
      </c>
      <c r="R123" s="295">
        <v>0</v>
      </c>
      <c r="S123" s="295">
        <v>0</v>
      </c>
      <c r="T123" s="295">
        <v>0</v>
      </c>
      <c r="U123" s="295">
        <v>0</v>
      </c>
      <c r="V123" s="295">
        <v>0</v>
      </c>
      <c r="W123" s="295">
        <v>0</v>
      </c>
      <c r="X123" s="295">
        <v>0</v>
      </c>
      <c r="Y123" s="295">
        <v>0</v>
      </c>
      <c r="Z123" s="295">
        <v>0</v>
      </c>
      <c r="AA123" s="295">
        <v>0</v>
      </c>
      <c r="AB123" s="295">
        <v>0</v>
      </c>
      <c r="AC123" s="295">
        <v>0</v>
      </c>
      <c r="AD123" s="295">
        <v>0</v>
      </c>
      <c r="AE123" s="295">
        <v>0</v>
      </c>
      <c r="AF123" s="295">
        <v>0</v>
      </c>
      <c r="AG123" s="295">
        <v>0</v>
      </c>
      <c r="AH123" s="295">
        <v>0</v>
      </c>
      <c r="AI123" s="362"/>
    </row>
    <row r="124" spans="1:35" ht="13.5" customHeight="1">
      <c r="A124" s="291">
        <v>31979</v>
      </c>
      <c r="B124" s="291">
        <v>42914</v>
      </c>
      <c r="C124" s="292" t="s">
        <v>933</v>
      </c>
      <c r="D124" s="293" t="s">
        <v>129</v>
      </c>
      <c r="E124" s="293" t="str">
        <f t="shared" si="1"/>
        <v>F</v>
      </c>
      <c r="F124" s="293" t="s">
        <v>126</v>
      </c>
      <c r="G124" s="294">
        <v>600</v>
      </c>
      <c r="H124" s="292" t="s">
        <v>97</v>
      </c>
      <c r="I124" s="292" t="s">
        <v>1844</v>
      </c>
      <c r="J124" s="293" t="s">
        <v>417</v>
      </c>
      <c r="K124" s="293"/>
      <c r="L124" s="293" t="s">
        <v>417</v>
      </c>
      <c r="M124" s="293" t="s">
        <v>1845</v>
      </c>
      <c r="N124" s="295">
        <v>1154</v>
      </c>
      <c r="O124" s="296" t="s">
        <v>673</v>
      </c>
      <c r="P124" s="295">
        <v>0</v>
      </c>
      <c r="Q124" s="295">
        <v>0</v>
      </c>
      <c r="R124" s="295">
        <v>0</v>
      </c>
      <c r="S124" s="295">
        <v>1134</v>
      </c>
      <c r="T124" s="295">
        <v>1134</v>
      </c>
      <c r="U124" s="295">
        <v>30</v>
      </c>
      <c r="V124" s="295">
        <v>10</v>
      </c>
      <c r="W124" s="295">
        <v>5.5</v>
      </c>
      <c r="X124" s="295">
        <v>5</v>
      </c>
      <c r="Y124" s="295">
        <v>0</v>
      </c>
      <c r="Z124" s="295">
        <v>0</v>
      </c>
      <c r="AA124" s="295">
        <v>0</v>
      </c>
      <c r="AB124" s="295">
        <v>0</v>
      </c>
      <c r="AC124" s="295">
        <v>0</v>
      </c>
      <c r="AD124" s="295">
        <v>0</v>
      </c>
      <c r="AE124" s="295">
        <v>0</v>
      </c>
      <c r="AF124" s="295">
        <v>0</v>
      </c>
      <c r="AG124" s="295">
        <v>0</v>
      </c>
      <c r="AH124" s="295">
        <v>1184.5</v>
      </c>
      <c r="AI124" s="362"/>
    </row>
    <row r="125" spans="1:35" ht="13.5" customHeight="1">
      <c r="A125" s="291">
        <v>31810</v>
      </c>
      <c r="B125" s="291">
        <v>43173</v>
      </c>
      <c r="C125" s="292" t="s">
        <v>934</v>
      </c>
      <c r="D125" s="293" t="s">
        <v>139</v>
      </c>
      <c r="E125" s="293" t="str">
        <f t="shared" si="1"/>
        <v>Q</v>
      </c>
      <c r="F125" s="293" t="s">
        <v>126</v>
      </c>
      <c r="G125" s="294">
        <v>600</v>
      </c>
      <c r="H125" s="292" t="s">
        <v>97</v>
      </c>
      <c r="I125" s="292" t="s">
        <v>935</v>
      </c>
      <c r="J125" s="293" t="s">
        <v>936</v>
      </c>
      <c r="K125" s="293"/>
      <c r="L125" s="293" t="s">
        <v>2115</v>
      </c>
      <c r="M125" s="293" t="s">
        <v>2116</v>
      </c>
      <c r="N125" s="295">
        <v>1294</v>
      </c>
      <c r="O125" s="296" t="s">
        <v>673</v>
      </c>
      <c r="P125" s="295">
        <v>0</v>
      </c>
      <c r="Q125" s="295">
        <v>0</v>
      </c>
      <c r="R125" s="295">
        <v>0</v>
      </c>
      <c r="S125" s="295">
        <v>1289</v>
      </c>
      <c r="T125" s="295">
        <v>1289</v>
      </c>
      <c r="U125" s="295">
        <v>30</v>
      </c>
      <c r="V125" s="295">
        <v>10</v>
      </c>
      <c r="W125" s="295">
        <v>5.5</v>
      </c>
      <c r="X125" s="295">
        <v>5</v>
      </c>
      <c r="Y125" s="295">
        <v>18</v>
      </c>
      <c r="Z125" s="295">
        <v>15</v>
      </c>
      <c r="AA125" s="295">
        <v>0</v>
      </c>
      <c r="AB125" s="295">
        <v>0</v>
      </c>
      <c r="AC125" s="295">
        <v>0</v>
      </c>
      <c r="AD125" s="295">
        <v>0</v>
      </c>
      <c r="AE125" s="295">
        <v>0</v>
      </c>
      <c r="AF125" s="295">
        <v>0</v>
      </c>
      <c r="AG125" s="295">
        <v>0</v>
      </c>
      <c r="AH125" s="295">
        <v>1372.5</v>
      </c>
      <c r="AI125" s="362"/>
    </row>
    <row r="126" spans="1:35" ht="13.5" customHeight="1">
      <c r="A126" s="291">
        <v>212</v>
      </c>
      <c r="B126" s="291">
        <v>43189</v>
      </c>
      <c r="C126" s="292" t="s">
        <v>937</v>
      </c>
      <c r="D126" s="293" t="s">
        <v>133</v>
      </c>
      <c r="E126" s="293" t="str">
        <f t="shared" si="1"/>
        <v>1</v>
      </c>
      <c r="F126" s="293" t="s">
        <v>126</v>
      </c>
      <c r="G126" s="294">
        <v>600</v>
      </c>
      <c r="H126" s="292" t="s">
        <v>97</v>
      </c>
      <c r="I126" s="292" t="s">
        <v>938</v>
      </c>
      <c r="J126" s="293" t="s">
        <v>939</v>
      </c>
      <c r="K126" s="293"/>
      <c r="L126" s="293" t="s">
        <v>491</v>
      </c>
      <c r="M126" s="293" t="s">
        <v>2117</v>
      </c>
      <c r="N126" s="295">
        <v>1254</v>
      </c>
      <c r="O126" s="296" t="s">
        <v>673</v>
      </c>
      <c r="P126" s="295">
        <v>0</v>
      </c>
      <c r="Q126" s="295">
        <v>0</v>
      </c>
      <c r="R126" s="295">
        <v>0</v>
      </c>
      <c r="S126" s="295">
        <v>1261</v>
      </c>
      <c r="T126" s="295">
        <v>1261</v>
      </c>
      <c r="U126" s="295">
        <v>30</v>
      </c>
      <c r="V126" s="295">
        <v>10</v>
      </c>
      <c r="W126" s="295">
        <v>5.5</v>
      </c>
      <c r="X126" s="295">
        <v>5</v>
      </c>
      <c r="Y126" s="295">
        <v>18</v>
      </c>
      <c r="Z126" s="295">
        <v>0</v>
      </c>
      <c r="AA126" s="295">
        <v>0</v>
      </c>
      <c r="AB126" s="295">
        <v>0</v>
      </c>
      <c r="AC126" s="295">
        <v>0</v>
      </c>
      <c r="AD126" s="295">
        <v>0</v>
      </c>
      <c r="AE126" s="295">
        <v>0</v>
      </c>
      <c r="AF126" s="295">
        <v>0</v>
      </c>
      <c r="AG126" s="295">
        <v>0</v>
      </c>
      <c r="AH126" s="295">
        <v>1329.5</v>
      </c>
      <c r="AI126" s="362"/>
    </row>
    <row r="127" spans="1:35" ht="13.5" customHeight="1">
      <c r="A127" s="291">
        <v>11128</v>
      </c>
      <c r="B127" s="291">
        <v>42773</v>
      </c>
      <c r="C127" s="292" t="s">
        <v>940</v>
      </c>
      <c r="D127" s="293" t="s">
        <v>147</v>
      </c>
      <c r="E127" s="293" t="str">
        <f t="shared" si="1"/>
        <v>Q</v>
      </c>
      <c r="F127" s="293" t="s">
        <v>126</v>
      </c>
      <c r="G127" s="294">
        <v>1076</v>
      </c>
      <c r="H127" s="292" t="s">
        <v>97</v>
      </c>
      <c r="I127" s="292" t="s">
        <v>941</v>
      </c>
      <c r="J127" s="293" t="s">
        <v>942</v>
      </c>
      <c r="K127" s="293"/>
      <c r="L127" s="293" t="s">
        <v>401</v>
      </c>
      <c r="M127" s="293" t="s">
        <v>1793</v>
      </c>
      <c r="N127" s="295">
        <v>1644</v>
      </c>
      <c r="O127" s="296" t="s">
        <v>673</v>
      </c>
      <c r="P127" s="295">
        <v>0</v>
      </c>
      <c r="Q127" s="295">
        <v>0</v>
      </c>
      <c r="R127" s="295">
        <v>0</v>
      </c>
      <c r="S127" s="295">
        <v>1754</v>
      </c>
      <c r="T127" s="295">
        <v>1754</v>
      </c>
      <c r="U127" s="295">
        <v>30</v>
      </c>
      <c r="V127" s="295">
        <v>10</v>
      </c>
      <c r="W127" s="295">
        <v>5.5</v>
      </c>
      <c r="X127" s="295">
        <v>5</v>
      </c>
      <c r="Y127" s="295">
        <v>18</v>
      </c>
      <c r="Z127" s="295">
        <v>30</v>
      </c>
      <c r="AA127" s="295">
        <v>0</v>
      </c>
      <c r="AB127" s="295">
        <v>0</v>
      </c>
      <c r="AC127" s="295">
        <v>0</v>
      </c>
      <c r="AD127" s="295">
        <v>0</v>
      </c>
      <c r="AE127" s="295">
        <v>0</v>
      </c>
      <c r="AF127" s="295">
        <v>0</v>
      </c>
      <c r="AG127" s="295">
        <v>0</v>
      </c>
      <c r="AH127" s="295">
        <v>1852.5</v>
      </c>
      <c r="AI127" s="362"/>
    </row>
    <row r="128" spans="1:35" ht="13.5" customHeight="1">
      <c r="A128" s="291">
        <v>32045</v>
      </c>
      <c r="B128" s="291">
        <v>43052</v>
      </c>
      <c r="C128" s="292" t="s">
        <v>943</v>
      </c>
      <c r="D128" s="293" t="s">
        <v>153</v>
      </c>
      <c r="E128" s="293" t="str">
        <f t="shared" si="1"/>
        <v>F</v>
      </c>
      <c r="F128" s="293" t="s">
        <v>126</v>
      </c>
      <c r="G128" s="294">
        <v>1076</v>
      </c>
      <c r="H128" s="292" t="s">
        <v>97</v>
      </c>
      <c r="I128" s="292" t="s">
        <v>1964</v>
      </c>
      <c r="J128" s="293" t="s">
        <v>984</v>
      </c>
      <c r="K128" s="293"/>
      <c r="L128" s="293" t="s">
        <v>984</v>
      </c>
      <c r="M128" s="293" t="s">
        <v>1965</v>
      </c>
      <c r="N128" s="295">
        <v>1524</v>
      </c>
      <c r="O128" s="296" t="s">
        <v>673</v>
      </c>
      <c r="P128" s="295">
        <v>0</v>
      </c>
      <c r="Q128" s="295">
        <v>0</v>
      </c>
      <c r="R128" s="295">
        <v>0</v>
      </c>
      <c r="S128" s="295">
        <v>1454</v>
      </c>
      <c r="T128" s="295">
        <v>1454</v>
      </c>
      <c r="U128" s="295">
        <v>30</v>
      </c>
      <c r="V128" s="295">
        <v>10</v>
      </c>
      <c r="W128" s="295">
        <v>5.5</v>
      </c>
      <c r="X128" s="295">
        <v>5</v>
      </c>
      <c r="Y128" s="295">
        <v>18</v>
      </c>
      <c r="Z128" s="295">
        <v>30</v>
      </c>
      <c r="AA128" s="295">
        <v>0</v>
      </c>
      <c r="AB128" s="295">
        <v>0</v>
      </c>
      <c r="AC128" s="295">
        <v>0</v>
      </c>
      <c r="AD128" s="295">
        <v>0</v>
      </c>
      <c r="AE128" s="295">
        <v>0</v>
      </c>
      <c r="AF128" s="295">
        <v>0</v>
      </c>
      <c r="AG128" s="295">
        <v>0</v>
      </c>
      <c r="AH128" s="295">
        <v>1552.5</v>
      </c>
      <c r="AI128" s="362"/>
    </row>
    <row r="129" spans="1:35" ht="13.5" customHeight="1">
      <c r="A129" s="291">
        <v>31953</v>
      </c>
      <c r="B129" s="291">
        <v>42864</v>
      </c>
      <c r="C129" s="292" t="s">
        <v>944</v>
      </c>
      <c r="D129" s="293" t="s">
        <v>147</v>
      </c>
      <c r="E129" s="293" t="str">
        <f t="shared" si="1"/>
        <v>Q</v>
      </c>
      <c r="F129" s="293" t="s">
        <v>126</v>
      </c>
      <c r="G129" s="294">
        <v>1076</v>
      </c>
      <c r="H129" s="292" t="s">
        <v>97</v>
      </c>
      <c r="I129" s="292" t="s">
        <v>1846</v>
      </c>
      <c r="J129" s="293" t="s">
        <v>424</v>
      </c>
      <c r="K129" s="293"/>
      <c r="L129" s="293" t="s">
        <v>424</v>
      </c>
      <c r="M129" s="293" t="s">
        <v>1792</v>
      </c>
      <c r="N129" s="295">
        <v>1644</v>
      </c>
      <c r="O129" s="296" t="s">
        <v>673</v>
      </c>
      <c r="P129" s="295">
        <v>0</v>
      </c>
      <c r="Q129" s="295">
        <v>0</v>
      </c>
      <c r="R129" s="295">
        <v>0</v>
      </c>
      <c r="S129" s="295">
        <v>1614</v>
      </c>
      <c r="T129" s="295">
        <v>1614</v>
      </c>
      <c r="U129" s="295">
        <v>30</v>
      </c>
      <c r="V129" s="295">
        <v>10</v>
      </c>
      <c r="W129" s="295">
        <v>5.5</v>
      </c>
      <c r="X129" s="295">
        <v>5</v>
      </c>
      <c r="Y129" s="295">
        <v>18</v>
      </c>
      <c r="Z129" s="295">
        <v>30</v>
      </c>
      <c r="AA129" s="295">
        <v>0</v>
      </c>
      <c r="AB129" s="295">
        <v>0</v>
      </c>
      <c r="AC129" s="295">
        <v>0</v>
      </c>
      <c r="AD129" s="295">
        <v>0</v>
      </c>
      <c r="AE129" s="295">
        <v>0</v>
      </c>
      <c r="AF129" s="295">
        <v>0</v>
      </c>
      <c r="AG129" s="295">
        <v>0</v>
      </c>
      <c r="AH129" s="295">
        <v>1712.5</v>
      </c>
      <c r="AI129" s="362"/>
    </row>
    <row r="130" spans="1:35" ht="13.5" customHeight="1">
      <c r="A130" s="291">
        <v>32122</v>
      </c>
      <c r="B130" s="291">
        <v>43181</v>
      </c>
      <c r="C130" s="292" t="s">
        <v>946</v>
      </c>
      <c r="D130" s="293" t="s">
        <v>677</v>
      </c>
      <c r="E130" s="293" t="str">
        <f t="shared" si="1"/>
        <v>G</v>
      </c>
      <c r="F130" s="293" t="s">
        <v>126</v>
      </c>
      <c r="G130" s="294">
        <v>1076</v>
      </c>
      <c r="H130" s="292" t="s">
        <v>97</v>
      </c>
      <c r="I130" s="292" t="s">
        <v>2118</v>
      </c>
      <c r="J130" s="293" t="s">
        <v>484</v>
      </c>
      <c r="K130" s="293"/>
      <c r="L130" s="293" t="s">
        <v>484</v>
      </c>
      <c r="M130" s="293" t="s">
        <v>2119</v>
      </c>
      <c r="N130" s="295">
        <v>1594</v>
      </c>
      <c r="O130" s="296" t="s">
        <v>673</v>
      </c>
      <c r="P130" s="295">
        <v>0</v>
      </c>
      <c r="Q130" s="295">
        <v>0</v>
      </c>
      <c r="R130" s="295">
        <v>-300</v>
      </c>
      <c r="S130" s="295">
        <v>1594</v>
      </c>
      <c r="T130" s="295">
        <v>1594</v>
      </c>
      <c r="U130" s="295">
        <v>30</v>
      </c>
      <c r="V130" s="295">
        <v>10</v>
      </c>
      <c r="W130" s="295">
        <v>5.5</v>
      </c>
      <c r="X130" s="295">
        <v>5</v>
      </c>
      <c r="Y130" s="295">
        <v>0</v>
      </c>
      <c r="Z130" s="295">
        <v>0</v>
      </c>
      <c r="AA130" s="295">
        <v>70</v>
      </c>
      <c r="AB130" s="295">
        <v>0</v>
      </c>
      <c r="AC130" s="295">
        <v>0</v>
      </c>
      <c r="AD130" s="295">
        <v>0</v>
      </c>
      <c r="AE130" s="295">
        <v>0</v>
      </c>
      <c r="AF130" s="295">
        <v>-700</v>
      </c>
      <c r="AG130" s="295">
        <v>0</v>
      </c>
      <c r="AH130" s="295">
        <v>1014.5</v>
      </c>
      <c r="AI130" s="362"/>
    </row>
    <row r="131" spans="1:35" ht="13.5" customHeight="1">
      <c r="A131" s="291">
        <v>31672</v>
      </c>
      <c r="B131" s="291">
        <v>42671</v>
      </c>
      <c r="C131" s="292" t="s">
        <v>947</v>
      </c>
      <c r="D131" s="293" t="s">
        <v>147</v>
      </c>
      <c r="E131" s="293" t="str">
        <f t="shared" si="1"/>
        <v>Q</v>
      </c>
      <c r="F131" s="293" t="s">
        <v>126</v>
      </c>
      <c r="G131" s="294">
        <v>1076</v>
      </c>
      <c r="H131" s="292" t="s">
        <v>142</v>
      </c>
      <c r="I131" s="292" t="s">
        <v>948</v>
      </c>
      <c r="J131" s="293" t="s">
        <v>366</v>
      </c>
      <c r="K131" s="293" t="s">
        <v>949</v>
      </c>
      <c r="L131" s="293" t="s">
        <v>366</v>
      </c>
      <c r="M131" s="293" t="s">
        <v>949</v>
      </c>
      <c r="N131" s="295">
        <v>1614</v>
      </c>
      <c r="O131" s="296" t="s">
        <v>673</v>
      </c>
      <c r="P131" s="295">
        <v>0</v>
      </c>
      <c r="Q131" s="295">
        <v>0</v>
      </c>
      <c r="R131" s="295">
        <v>0</v>
      </c>
      <c r="S131" s="295">
        <v>1674</v>
      </c>
      <c r="T131" s="295">
        <v>1674</v>
      </c>
      <c r="U131" s="295">
        <v>30</v>
      </c>
      <c r="V131" s="295">
        <v>10</v>
      </c>
      <c r="W131" s="295">
        <v>5.5</v>
      </c>
      <c r="X131" s="295">
        <v>5</v>
      </c>
      <c r="Y131" s="295">
        <v>18</v>
      </c>
      <c r="Z131" s="295">
        <v>15</v>
      </c>
      <c r="AA131" s="295">
        <v>0</v>
      </c>
      <c r="AB131" s="295">
        <v>35</v>
      </c>
      <c r="AC131" s="295">
        <v>0</v>
      </c>
      <c r="AD131" s="295">
        <v>0</v>
      </c>
      <c r="AE131" s="295">
        <v>0</v>
      </c>
      <c r="AF131" s="295">
        <v>0</v>
      </c>
      <c r="AG131" s="295">
        <v>0</v>
      </c>
      <c r="AH131" s="295">
        <v>1792.5</v>
      </c>
      <c r="AI131" s="362"/>
    </row>
    <row r="132" spans="1:35" ht="13.5" customHeight="1">
      <c r="A132" s="291">
        <v>31627</v>
      </c>
      <c r="B132" s="291">
        <v>42976</v>
      </c>
      <c r="C132" s="292" t="s">
        <v>950</v>
      </c>
      <c r="D132" s="293" t="s">
        <v>153</v>
      </c>
      <c r="E132" s="293" t="str">
        <f t="shared" si="1"/>
        <v>F</v>
      </c>
      <c r="F132" s="293" t="s">
        <v>126</v>
      </c>
      <c r="G132" s="294">
        <v>1076</v>
      </c>
      <c r="H132" s="292" t="s">
        <v>97</v>
      </c>
      <c r="I132" s="292" t="s">
        <v>951</v>
      </c>
      <c r="J132" s="293" t="s">
        <v>739</v>
      </c>
      <c r="K132" s="293"/>
      <c r="L132" s="293" t="s">
        <v>436</v>
      </c>
      <c r="M132" s="293" t="s">
        <v>1941</v>
      </c>
      <c r="N132" s="295">
        <v>1524</v>
      </c>
      <c r="O132" s="296" t="s">
        <v>673</v>
      </c>
      <c r="P132" s="295">
        <v>0</v>
      </c>
      <c r="Q132" s="295">
        <v>0</v>
      </c>
      <c r="R132" s="295">
        <v>75.72</v>
      </c>
      <c r="S132" s="295">
        <v>1554</v>
      </c>
      <c r="T132" s="295">
        <v>1554</v>
      </c>
      <c r="U132" s="295">
        <v>30</v>
      </c>
      <c r="V132" s="295">
        <v>10</v>
      </c>
      <c r="W132" s="295">
        <v>5.5</v>
      </c>
      <c r="X132" s="295">
        <v>5</v>
      </c>
      <c r="Y132" s="295">
        <v>18</v>
      </c>
      <c r="Z132" s="295">
        <v>0</v>
      </c>
      <c r="AA132" s="295">
        <v>0</v>
      </c>
      <c r="AB132" s="295">
        <v>0</v>
      </c>
      <c r="AC132" s="295">
        <v>0</v>
      </c>
      <c r="AD132" s="295">
        <v>0</v>
      </c>
      <c r="AE132" s="295">
        <v>0</v>
      </c>
      <c r="AF132" s="295">
        <v>0</v>
      </c>
      <c r="AG132" s="295">
        <v>0</v>
      </c>
      <c r="AH132" s="295">
        <v>1622.5</v>
      </c>
      <c r="AI132" s="362"/>
    </row>
    <row r="133" spans="1:35" ht="13.5" customHeight="1">
      <c r="A133" s="291">
        <v>0</v>
      </c>
      <c r="B133" s="291">
        <v>0</v>
      </c>
      <c r="C133" s="292" t="s">
        <v>952</v>
      </c>
      <c r="D133" s="293" t="s">
        <v>147</v>
      </c>
      <c r="E133" s="293" t="str">
        <f t="shared" si="1"/>
        <v>Q</v>
      </c>
      <c r="F133" s="293" t="s">
        <v>126</v>
      </c>
      <c r="G133" s="294">
        <v>1076</v>
      </c>
      <c r="H133" s="292" t="s">
        <v>101</v>
      </c>
      <c r="I133" s="292" t="s">
        <v>682</v>
      </c>
      <c r="J133" s="293"/>
      <c r="K133" s="293"/>
      <c r="L133" s="293"/>
      <c r="M133" s="293"/>
      <c r="N133" s="295">
        <v>1644</v>
      </c>
      <c r="O133" s="296"/>
      <c r="P133" s="295">
        <v>0</v>
      </c>
      <c r="Q133" s="295">
        <v>0</v>
      </c>
      <c r="R133" s="295">
        <v>0</v>
      </c>
      <c r="S133" s="295">
        <v>0</v>
      </c>
      <c r="T133" s="295">
        <v>0</v>
      </c>
      <c r="U133" s="295">
        <v>0</v>
      </c>
      <c r="V133" s="295">
        <v>0</v>
      </c>
      <c r="W133" s="295">
        <v>0</v>
      </c>
      <c r="X133" s="295">
        <v>0</v>
      </c>
      <c r="Y133" s="295">
        <v>0</v>
      </c>
      <c r="Z133" s="295">
        <v>0</v>
      </c>
      <c r="AA133" s="295">
        <v>0</v>
      </c>
      <c r="AB133" s="295">
        <v>0</v>
      </c>
      <c r="AC133" s="295">
        <v>0</v>
      </c>
      <c r="AD133" s="295">
        <v>0</v>
      </c>
      <c r="AE133" s="295">
        <v>0</v>
      </c>
      <c r="AF133" s="295">
        <v>0</v>
      </c>
      <c r="AG133" s="295">
        <v>0</v>
      </c>
      <c r="AH133" s="295">
        <v>0</v>
      </c>
      <c r="AI133" s="362"/>
    </row>
    <row r="134" spans="1:35" ht="13.5" customHeight="1">
      <c r="A134" s="291">
        <v>31933</v>
      </c>
      <c r="B134" s="291">
        <v>42831</v>
      </c>
      <c r="C134" s="292" t="s">
        <v>954</v>
      </c>
      <c r="D134" s="293" t="s">
        <v>677</v>
      </c>
      <c r="E134" s="293" t="str">
        <f t="shared" si="1"/>
        <v>G</v>
      </c>
      <c r="F134" s="293" t="s">
        <v>126</v>
      </c>
      <c r="G134" s="294">
        <v>1076</v>
      </c>
      <c r="H134" s="292" t="s">
        <v>97</v>
      </c>
      <c r="I134" s="292" t="s">
        <v>1847</v>
      </c>
      <c r="J134" s="293" t="s">
        <v>1486</v>
      </c>
      <c r="K134" s="293"/>
      <c r="L134" s="293" t="s">
        <v>1486</v>
      </c>
      <c r="M134" s="293" t="s">
        <v>1813</v>
      </c>
      <c r="N134" s="295">
        <v>1594</v>
      </c>
      <c r="O134" s="296" t="s">
        <v>673</v>
      </c>
      <c r="P134" s="295">
        <v>0</v>
      </c>
      <c r="Q134" s="295">
        <v>0</v>
      </c>
      <c r="R134" s="295">
        <v>-7.02</v>
      </c>
      <c r="S134" s="295">
        <v>1474</v>
      </c>
      <c r="T134" s="295">
        <v>1474</v>
      </c>
      <c r="U134" s="295">
        <v>30</v>
      </c>
      <c r="V134" s="295">
        <v>10</v>
      </c>
      <c r="W134" s="295">
        <v>5.5</v>
      </c>
      <c r="X134" s="295">
        <v>5</v>
      </c>
      <c r="Y134" s="295">
        <v>18</v>
      </c>
      <c r="Z134" s="295">
        <v>15</v>
      </c>
      <c r="AA134" s="295">
        <v>0</v>
      </c>
      <c r="AB134" s="295">
        <v>0</v>
      </c>
      <c r="AC134" s="295">
        <v>0</v>
      </c>
      <c r="AD134" s="295">
        <v>0</v>
      </c>
      <c r="AE134" s="295">
        <v>0</v>
      </c>
      <c r="AF134" s="295">
        <v>0</v>
      </c>
      <c r="AG134" s="295">
        <v>0</v>
      </c>
      <c r="AH134" s="295">
        <v>1557.5</v>
      </c>
      <c r="AI134" s="362"/>
    </row>
    <row r="135" spans="1:35" ht="13.5" customHeight="1">
      <c r="A135" s="291">
        <v>31811</v>
      </c>
      <c r="B135" s="291">
        <v>43163</v>
      </c>
      <c r="C135" s="292" t="s">
        <v>955</v>
      </c>
      <c r="D135" s="293" t="s">
        <v>167</v>
      </c>
      <c r="E135" s="293" t="str">
        <f t="shared" si="1"/>
        <v>Q</v>
      </c>
      <c r="F135" s="293" t="s">
        <v>126</v>
      </c>
      <c r="G135" s="294">
        <v>700</v>
      </c>
      <c r="H135" s="292" t="s">
        <v>97</v>
      </c>
      <c r="I135" s="292" t="s">
        <v>956</v>
      </c>
      <c r="J135" s="293" t="s">
        <v>957</v>
      </c>
      <c r="K135" s="293"/>
      <c r="L135" s="293" t="s">
        <v>707</v>
      </c>
      <c r="M135" s="293" t="s">
        <v>1957</v>
      </c>
      <c r="N135" s="295">
        <v>1314</v>
      </c>
      <c r="O135" s="296" t="s">
        <v>673</v>
      </c>
      <c r="P135" s="295">
        <v>0</v>
      </c>
      <c r="Q135" s="295">
        <v>0</v>
      </c>
      <c r="R135" s="295">
        <v>-3.36</v>
      </c>
      <c r="S135" s="295">
        <v>1343</v>
      </c>
      <c r="T135" s="295">
        <v>1343</v>
      </c>
      <c r="U135" s="295">
        <v>30</v>
      </c>
      <c r="V135" s="295">
        <v>10</v>
      </c>
      <c r="W135" s="295">
        <v>5.5</v>
      </c>
      <c r="X135" s="295">
        <v>5</v>
      </c>
      <c r="Y135" s="295">
        <v>18</v>
      </c>
      <c r="Z135" s="295">
        <v>15</v>
      </c>
      <c r="AA135" s="295">
        <v>0</v>
      </c>
      <c r="AB135" s="295">
        <v>0</v>
      </c>
      <c r="AC135" s="295">
        <v>0</v>
      </c>
      <c r="AD135" s="295">
        <v>0</v>
      </c>
      <c r="AE135" s="295">
        <v>0</v>
      </c>
      <c r="AF135" s="295">
        <v>0</v>
      </c>
      <c r="AG135" s="295">
        <v>0</v>
      </c>
      <c r="AH135" s="295">
        <v>1426.5</v>
      </c>
      <c r="AI135" s="362"/>
    </row>
    <row r="136" spans="1:35" ht="13.5" customHeight="1">
      <c r="A136" s="291">
        <v>770</v>
      </c>
      <c r="B136" s="291">
        <v>42967</v>
      </c>
      <c r="C136" s="292" t="s">
        <v>958</v>
      </c>
      <c r="D136" s="293" t="s">
        <v>164</v>
      </c>
      <c r="E136" s="293" t="str">
        <f t="shared" ref="E136:E199" si="2">RIGHT(D136,1)</f>
        <v>F</v>
      </c>
      <c r="F136" s="293" t="s">
        <v>126</v>
      </c>
      <c r="G136" s="294">
        <v>700</v>
      </c>
      <c r="H136" s="292" t="s">
        <v>97</v>
      </c>
      <c r="I136" s="292" t="s">
        <v>959</v>
      </c>
      <c r="J136" s="293" t="s">
        <v>396</v>
      </c>
      <c r="K136" s="293"/>
      <c r="L136" s="293" t="s">
        <v>1905</v>
      </c>
      <c r="M136" s="293" t="s">
        <v>1966</v>
      </c>
      <c r="N136" s="295">
        <v>1234</v>
      </c>
      <c r="O136" s="296" t="s">
        <v>673</v>
      </c>
      <c r="P136" s="295">
        <v>0</v>
      </c>
      <c r="Q136" s="295">
        <v>0</v>
      </c>
      <c r="R136" s="295">
        <v>-1273.3699999999999</v>
      </c>
      <c r="S136" s="295">
        <v>1139</v>
      </c>
      <c r="T136" s="295">
        <v>1139</v>
      </c>
      <c r="U136" s="295">
        <v>30</v>
      </c>
      <c r="V136" s="295">
        <v>10</v>
      </c>
      <c r="W136" s="295">
        <v>5.5</v>
      </c>
      <c r="X136" s="295">
        <v>5</v>
      </c>
      <c r="Y136" s="295">
        <v>18</v>
      </c>
      <c r="Z136" s="295">
        <v>15</v>
      </c>
      <c r="AA136" s="295">
        <v>0</v>
      </c>
      <c r="AB136" s="295">
        <v>0</v>
      </c>
      <c r="AC136" s="295">
        <v>0</v>
      </c>
      <c r="AD136" s="295">
        <v>0</v>
      </c>
      <c r="AE136" s="295">
        <v>0</v>
      </c>
      <c r="AF136" s="295">
        <v>0</v>
      </c>
      <c r="AG136" s="295">
        <v>0</v>
      </c>
      <c r="AH136" s="295">
        <v>1222.5</v>
      </c>
      <c r="AI136" s="362"/>
    </row>
    <row r="137" spans="1:35" ht="13.5" customHeight="1">
      <c r="A137" s="291">
        <v>31690</v>
      </c>
      <c r="B137" s="291">
        <v>42772</v>
      </c>
      <c r="C137" s="292" t="s">
        <v>960</v>
      </c>
      <c r="D137" s="293" t="s">
        <v>167</v>
      </c>
      <c r="E137" s="293" t="str">
        <f t="shared" si="2"/>
        <v>Q</v>
      </c>
      <c r="F137" s="293" t="s">
        <v>126</v>
      </c>
      <c r="G137" s="294">
        <v>700</v>
      </c>
      <c r="H137" s="292" t="s">
        <v>97</v>
      </c>
      <c r="I137" s="292" t="s">
        <v>961</v>
      </c>
      <c r="J137" s="293" t="s">
        <v>382</v>
      </c>
      <c r="K137" s="293"/>
      <c r="L137" s="293" t="s">
        <v>962</v>
      </c>
      <c r="M137" s="293" t="s">
        <v>963</v>
      </c>
      <c r="N137" s="295">
        <v>1329</v>
      </c>
      <c r="O137" s="296" t="s">
        <v>673</v>
      </c>
      <c r="P137" s="295">
        <v>0</v>
      </c>
      <c r="Q137" s="295">
        <v>0</v>
      </c>
      <c r="R137" s="295">
        <v>0</v>
      </c>
      <c r="S137" s="295">
        <v>1384</v>
      </c>
      <c r="T137" s="295">
        <v>1384</v>
      </c>
      <c r="U137" s="295">
        <v>30</v>
      </c>
      <c r="V137" s="295">
        <v>10</v>
      </c>
      <c r="W137" s="295">
        <v>5.5</v>
      </c>
      <c r="X137" s="295">
        <v>5</v>
      </c>
      <c r="Y137" s="295">
        <v>18</v>
      </c>
      <c r="Z137" s="295">
        <v>0</v>
      </c>
      <c r="AA137" s="295">
        <v>0</v>
      </c>
      <c r="AB137" s="295">
        <v>0</v>
      </c>
      <c r="AC137" s="295">
        <v>0</v>
      </c>
      <c r="AD137" s="295">
        <v>0</v>
      </c>
      <c r="AE137" s="295">
        <v>0</v>
      </c>
      <c r="AF137" s="295">
        <v>0</v>
      </c>
      <c r="AG137" s="295">
        <v>0</v>
      </c>
      <c r="AH137" s="295">
        <v>1452.5</v>
      </c>
      <c r="AI137" s="362"/>
    </row>
    <row r="138" spans="1:35" ht="13.5" customHeight="1">
      <c r="A138" s="291">
        <v>11376</v>
      </c>
      <c r="B138" s="291">
        <v>43130</v>
      </c>
      <c r="C138" s="292" t="s">
        <v>964</v>
      </c>
      <c r="D138" s="293" t="s">
        <v>167</v>
      </c>
      <c r="E138" s="293" t="str">
        <f t="shared" si="2"/>
        <v>Q</v>
      </c>
      <c r="F138" s="293" t="s">
        <v>126</v>
      </c>
      <c r="G138" s="294">
        <v>700</v>
      </c>
      <c r="H138" s="292" t="s">
        <v>97</v>
      </c>
      <c r="I138" s="292" t="s">
        <v>965</v>
      </c>
      <c r="J138" s="293" t="s">
        <v>312</v>
      </c>
      <c r="K138" s="293"/>
      <c r="L138" s="293" t="s">
        <v>433</v>
      </c>
      <c r="M138" s="293" t="s">
        <v>2120</v>
      </c>
      <c r="N138" s="295">
        <v>1344</v>
      </c>
      <c r="O138" s="296" t="s">
        <v>673</v>
      </c>
      <c r="P138" s="295">
        <v>0</v>
      </c>
      <c r="Q138" s="295">
        <v>0</v>
      </c>
      <c r="R138" s="295">
        <v>0</v>
      </c>
      <c r="S138" s="295">
        <v>1329</v>
      </c>
      <c r="T138" s="295">
        <v>1329</v>
      </c>
      <c r="U138" s="295">
        <v>30</v>
      </c>
      <c r="V138" s="295">
        <v>10</v>
      </c>
      <c r="W138" s="295">
        <v>5.5</v>
      </c>
      <c r="X138" s="295">
        <v>5</v>
      </c>
      <c r="Y138" s="295">
        <v>18</v>
      </c>
      <c r="Z138" s="295">
        <v>0</v>
      </c>
      <c r="AA138" s="295">
        <v>0</v>
      </c>
      <c r="AB138" s="295">
        <v>0</v>
      </c>
      <c r="AC138" s="295">
        <v>0</v>
      </c>
      <c r="AD138" s="295">
        <v>0</v>
      </c>
      <c r="AE138" s="295">
        <v>0</v>
      </c>
      <c r="AF138" s="295">
        <v>0</v>
      </c>
      <c r="AG138" s="295">
        <v>0</v>
      </c>
      <c r="AH138" s="295">
        <v>1397.5</v>
      </c>
      <c r="AI138" s="362"/>
    </row>
    <row r="139" spans="1:35" ht="13.5" customHeight="1">
      <c r="A139" s="291">
        <v>11337</v>
      </c>
      <c r="B139" s="291">
        <v>43044</v>
      </c>
      <c r="C139" s="292" t="s">
        <v>967</v>
      </c>
      <c r="D139" s="293" t="s">
        <v>167</v>
      </c>
      <c r="E139" s="293" t="str">
        <f t="shared" si="2"/>
        <v>Q</v>
      </c>
      <c r="F139" s="293" t="s">
        <v>126</v>
      </c>
      <c r="G139" s="294">
        <v>700</v>
      </c>
      <c r="H139" s="292" t="s">
        <v>97</v>
      </c>
      <c r="I139" s="292" t="s">
        <v>1355</v>
      </c>
      <c r="J139" s="293" t="s">
        <v>1967</v>
      </c>
      <c r="K139" s="293"/>
      <c r="L139" s="293" t="s">
        <v>1967</v>
      </c>
      <c r="M139" s="293" t="s">
        <v>1959</v>
      </c>
      <c r="N139" s="295">
        <v>1314</v>
      </c>
      <c r="O139" s="296" t="s">
        <v>673</v>
      </c>
      <c r="P139" s="295">
        <v>0</v>
      </c>
      <c r="Q139" s="295">
        <v>0</v>
      </c>
      <c r="R139" s="295">
        <v>-1431.49</v>
      </c>
      <c r="S139" s="295">
        <v>1324</v>
      </c>
      <c r="T139" s="295">
        <v>1324</v>
      </c>
      <c r="U139" s="295">
        <v>30</v>
      </c>
      <c r="V139" s="295">
        <v>10</v>
      </c>
      <c r="W139" s="295">
        <v>5.5</v>
      </c>
      <c r="X139" s="295">
        <v>5</v>
      </c>
      <c r="Y139" s="295">
        <v>18</v>
      </c>
      <c r="Z139" s="295">
        <v>0</v>
      </c>
      <c r="AA139" s="295">
        <v>0</v>
      </c>
      <c r="AB139" s="295">
        <v>0</v>
      </c>
      <c r="AC139" s="295">
        <v>0</v>
      </c>
      <c r="AD139" s="295">
        <v>0</v>
      </c>
      <c r="AE139" s="295">
        <v>0</v>
      </c>
      <c r="AF139" s="295">
        <v>0</v>
      </c>
      <c r="AG139" s="295">
        <v>0</v>
      </c>
      <c r="AH139" s="295">
        <v>1392.5</v>
      </c>
      <c r="AI139" s="362"/>
    </row>
    <row r="140" spans="1:35" ht="13.5" customHeight="1">
      <c r="A140" s="291">
        <v>31674</v>
      </c>
      <c r="B140" s="291">
        <v>42944</v>
      </c>
      <c r="C140" s="292" t="s">
        <v>968</v>
      </c>
      <c r="D140" s="293" t="s">
        <v>167</v>
      </c>
      <c r="E140" s="293" t="str">
        <f t="shared" si="2"/>
        <v>Q</v>
      </c>
      <c r="F140" s="293" t="s">
        <v>126</v>
      </c>
      <c r="G140" s="294">
        <v>700</v>
      </c>
      <c r="H140" s="292" t="s">
        <v>97</v>
      </c>
      <c r="I140" s="292" t="s">
        <v>1968</v>
      </c>
      <c r="J140" s="293" t="s">
        <v>876</v>
      </c>
      <c r="K140" s="293"/>
      <c r="L140" s="293" t="s">
        <v>1955</v>
      </c>
      <c r="M140" s="293" t="s">
        <v>1969</v>
      </c>
      <c r="N140" s="295">
        <v>1314</v>
      </c>
      <c r="O140" s="296" t="s">
        <v>673</v>
      </c>
      <c r="P140" s="295">
        <v>0</v>
      </c>
      <c r="Q140" s="295">
        <v>0</v>
      </c>
      <c r="R140" s="295">
        <v>0</v>
      </c>
      <c r="S140" s="295">
        <v>1269</v>
      </c>
      <c r="T140" s="295">
        <v>1269</v>
      </c>
      <c r="U140" s="295">
        <v>30</v>
      </c>
      <c r="V140" s="295">
        <v>10</v>
      </c>
      <c r="W140" s="295">
        <v>5.5</v>
      </c>
      <c r="X140" s="295">
        <v>5</v>
      </c>
      <c r="Y140" s="295">
        <v>0</v>
      </c>
      <c r="Z140" s="295">
        <v>0</v>
      </c>
      <c r="AA140" s="295">
        <v>0</v>
      </c>
      <c r="AB140" s="295">
        <v>0</v>
      </c>
      <c r="AC140" s="295">
        <v>0</v>
      </c>
      <c r="AD140" s="295">
        <v>0</v>
      </c>
      <c r="AE140" s="295">
        <v>0</v>
      </c>
      <c r="AF140" s="295">
        <v>0</v>
      </c>
      <c r="AG140" s="295">
        <v>0</v>
      </c>
      <c r="AH140" s="295">
        <v>1319.5</v>
      </c>
      <c r="AI140" s="362"/>
    </row>
    <row r="141" spans="1:35" ht="13.5" customHeight="1">
      <c r="A141" s="291">
        <v>31824</v>
      </c>
      <c r="B141" s="291">
        <v>43170</v>
      </c>
      <c r="C141" s="292" t="s">
        <v>969</v>
      </c>
      <c r="D141" s="293" t="s">
        <v>167</v>
      </c>
      <c r="E141" s="293" t="str">
        <f t="shared" si="2"/>
        <v>Q</v>
      </c>
      <c r="F141" s="293" t="s">
        <v>126</v>
      </c>
      <c r="G141" s="294">
        <v>700</v>
      </c>
      <c r="H141" s="292" t="s">
        <v>97</v>
      </c>
      <c r="I141" s="292" t="s">
        <v>970</v>
      </c>
      <c r="J141" s="293" t="s">
        <v>936</v>
      </c>
      <c r="K141" s="293"/>
      <c r="L141" s="293" t="s">
        <v>478</v>
      </c>
      <c r="M141" s="293" t="s">
        <v>2114</v>
      </c>
      <c r="N141" s="295">
        <v>1344</v>
      </c>
      <c r="O141" s="296" t="s">
        <v>673</v>
      </c>
      <c r="P141" s="295">
        <v>0</v>
      </c>
      <c r="Q141" s="295">
        <v>0</v>
      </c>
      <c r="R141" s="295">
        <v>0</v>
      </c>
      <c r="S141" s="295">
        <v>1324</v>
      </c>
      <c r="T141" s="295">
        <v>1324</v>
      </c>
      <c r="U141" s="295">
        <v>30</v>
      </c>
      <c r="V141" s="295">
        <v>10</v>
      </c>
      <c r="W141" s="295">
        <v>5.5</v>
      </c>
      <c r="X141" s="295">
        <v>5</v>
      </c>
      <c r="Y141" s="295">
        <v>18</v>
      </c>
      <c r="Z141" s="295">
        <v>15</v>
      </c>
      <c r="AA141" s="295">
        <v>0</v>
      </c>
      <c r="AB141" s="295">
        <v>0</v>
      </c>
      <c r="AC141" s="295">
        <v>0</v>
      </c>
      <c r="AD141" s="295">
        <v>0</v>
      </c>
      <c r="AE141" s="295">
        <v>0</v>
      </c>
      <c r="AF141" s="295">
        <v>0</v>
      </c>
      <c r="AG141" s="295">
        <v>0</v>
      </c>
      <c r="AH141" s="295">
        <v>1407.5</v>
      </c>
      <c r="AI141" s="362"/>
    </row>
    <row r="142" spans="1:35" ht="13.5" customHeight="1">
      <c r="A142" s="291">
        <v>31998</v>
      </c>
      <c r="B142" s="291">
        <v>42937</v>
      </c>
      <c r="C142" s="292" t="s">
        <v>971</v>
      </c>
      <c r="D142" s="293" t="s">
        <v>167</v>
      </c>
      <c r="E142" s="293" t="str">
        <f t="shared" si="2"/>
        <v>Q</v>
      </c>
      <c r="F142" s="293" t="s">
        <v>126</v>
      </c>
      <c r="G142" s="294">
        <v>700</v>
      </c>
      <c r="H142" s="292" t="s">
        <v>97</v>
      </c>
      <c r="I142" s="292" t="s">
        <v>1970</v>
      </c>
      <c r="J142" s="293" t="s">
        <v>1335</v>
      </c>
      <c r="K142" s="293"/>
      <c r="L142" s="293" t="s">
        <v>1335</v>
      </c>
      <c r="M142" s="293" t="s">
        <v>1831</v>
      </c>
      <c r="N142" s="295">
        <v>1344</v>
      </c>
      <c r="O142" s="296" t="s">
        <v>673</v>
      </c>
      <c r="P142" s="295">
        <v>0</v>
      </c>
      <c r="Q142" s="295">
        <v>0</v>
      </c>
      <c r="R142" s="295">
        <v>0</v>
      </c>
      <c r="S142" s="295">
        <v>1374</v>
      </c>
      <c r="T142" s="295">
        <v>1374</v>
      </c>
      <c r="U142" s="295">
        <v>30</v>
      </c>
      <c r="V142" s="295">
        <v>10</v>
      </c>
      <c r="W142" s="295">
        <v>5.5</v>
      </c>
      <c r="X142" s="295">
        <v>5</v>
      </c>
      <c r="Y142" s="295">
        <v>18</v>
      </c>
      <c r="Z142" s="295">
        <v>15</v>
      </c>
      <c r="AA142" s="295">
        <v>0</v>
      </c>
      <c r="AB142" s="295">
        <v>35</v>
      </c>
      <c r="AC142" s="295">
        <v>0</v>
      </c>
      <c r="AD142" s="295">
        <v>0</v>
      </c>
      <c r="AE142" s="295">
        <v>0</v>
      </c>
      <c r="AF142" s="295">
        <v>0</v>
      </c>
      <c r="AG142" s="295">
        <v>0</v>
      </c>
      <c r="AH142" s="295">
        <v>1492.5</v>
      </c>
      <c r="AI142" s="362"/>
    </row>
    <row r="143" spans="1:35" ht="13.5" customHeight="1">
      <c r="A143" s="291">
        <v>31550</v>
      </c>
      <c r="B143" s="291">
        <v>42780</v>
      </c>
      <c r="C143" s="292" t="s">
        <v>973</v>
      </c>
      <c r="D143" s="293" t="s">
        <v>281</v>
      </c>
      <c r="E143" s="293" t="str">
        <f t="shared" si="2"/>
        <v>G</v>
      </c>
      <c r="F143" s="293" t="s">
        <v>126</v>
      </c>
      <c r="G143" s="294">
        <v>700</v>
      </c>
      <c r="H143" s="292" t="s">
        <v>97</v>
      </c>
      <c r="I143" s="292" t="s">
        <v>974</v>
      </c>
      <c r="J143" s="293" t="s">
        <v>975</v>
      </c>
      <c r="K143" s="293"/>
      <c r="L143" s="293" t="s">
        <v>498</v>
      </c>
      <c r="M143" s="293" t="s">
        <v>867</v>
      </c>
      <c r="N143" s="295">
        <v>1304</v>
      </c>
      <c r="O143" s="296" t="s">
        <v>673</v>
      </c>
      <c r="P143" s="295">
        <v>0</v>
      </c>
      <c r="Q143" s="295">
        <v>0</v>
      </c>
      <c r="R143" s="295">
        <v>0</v>
      </c>
      <c r="S143" s="295">
        <v>1364</v>
      </c>
      <c r="T143" s="295">
        <v>1364</v>
      </c>
      <c r="U143" s="295">
        <v>30</v>
      </c>
      <c r="V143" s="295">
        <v>10</v>
      </c>
      <c r="W143" s="295">
        <v>5.5</v>
      </c>
      <c r="X143" s="295">
        <v>5</v>
      </c>
      <c r="Y143" s="295">
        <v>18</v>
      </c>
      <c r="Z143" s="295">
        <v>30</v>
      </c>
      <c r="AA143" s="295">
        <v>0</v>
      </c>
      <c r="AB143" s="295">
        <v>0</v>
      </c>
      <c r="AC143" s="295">
        <v>0</v>
      </c>
      <c r="AD143" s="295">
        <v>0</v>
      </c>
      <c r="AE143" s="295">
        <v>0</v>
      </c>
      <c r="AF143" s="295">
        <v>0</v>
      </c>
      <c r="AG143" s="295">
        <v>0</v>
      </c>
      <c r="AH143" s="295">
        <v>1462.5</v>
      </c>
      <c r="AI143" s="362"/>
    </row>
    <row r="144" spans="1:35" ht="13.5" customHeight="1">
      <c r="A144" s="291">
        <v>32053</v>
      </c>
      <c r="B144" s="291">
        <v>43065</v>
      </c>
      <c r="C144" s="292" t="s">
        <v>976</v>
      </c>
      <c r="D144" s="293" t="s">
        <v>167</v>
      </c>
      <c r="E144" s="293" t="str">
        <f t="shared" si="2"/>
        <v>Q</v>
      </c>
      <c r="F144" s="293" t="s">
        <v>126</v>
      </c>
      <c r="G144" s="294">
        <v>700</v>
      </c>
      <c r="H144" s="292" t="s">
        <v>97</v>
      </c>
      <c r="I144" s="292" t="s">
        <v>1971</v>
      </c>
      <c r="J144" s="293" t="s">
        <v>984</v>
      </c>
      <c r="K144" s="293"/>
      <c r="L144" s="293" t="s">
        <v>984</v>
      </c>
      <c r="M144" s="293" t="s">
        <v>1965</v>
      </c>
      <c r="N144" s="295">
        <v>1344</v>
      </c>
      <c r="O144" s="296" t="s">
        <v>673</v>
      </c>
      <c r="P144" s="295">
        <v>0</v>
      </c>
      <c r="Q144" s="295">
        <v>0</v>
      </c>
      <c r="R144" s="295">
        <v>0</v>
      </c>
      <c r="S144" s="295">
        <v>1274</v>
      </c>
      <c r="T144" s="295">
        <v>1274</v>
      </c>
      <c r="U144" s="295">
        <v>30</v>
      </c>
      <c r="V144" s="295">
        <v>10</v>
      </c>
      <c r="W144" s="295">
        <v>5.5</v>
      </c>
      <c r="X144" s="295">
        <v>5</v>
      </c>
      <c r="Y144" s="295">
        <v>18</v>
      </c>
      <c r="Z144" s="295">
        <v>0</v>
      </c>
      <c r="AA144" s="295">
        <v>0</v>
      </c>
      <c r="AB144" s="295">
        <v>0</v>
      </c>
      <c r="AC144" s="295">
        <v>0</v>
      </c>
      <c r="AD144" s="295">
        <v>0</v>
      </c>
      <c r="AE144" s="295">
        <v>0</v>
      </c>
      <c r="AF144" s="295">
        <v>0</v>
      </c>
      <c r="AG144" s="295">
        <v>0</v>
      </c>
      <c r="AH144" s="295">
        <v>1342.5</v>
      </c>
      <c r="AI144" s="362"/>
    </row>
    <row r="145" spans="1:35" ht="13.5" customHeight="1">
      <c r="A145" s="291">
        <v>11174</v>
      </c>
      <c r="B145" s="291">
        <v>42873</v>
      </c>
      <c r="C145" s="292" t="s">
        <v>977</v>
      </c>
      <c r="D145" s="293" t="s">
        <v>281</v>
      </c>
      <c r="E145" s="293" t="str">
        <f t="shared" si="2"/>
        <v>G</v>
      </c>
      <c r="F145" s="293" t="s">
        <v>126</v>
      </c>
      <c r="G145" s="294">
        <v>700</v>
      </c>
      <c r="H145" s="292" t="s">
        <v>97</v>
      </c>
      <c r="I145" s="292" t="s">
        <v>978</v>
      </c>
      <c r="J145" s="293" t="s">
        <v>979</v>
      </c>
      <c r="K145" s="293"/>
      <c r="L145" s="293" t="s">
        <v>1251</v>
      </c>
      <c r="M145" s="293" t="s">
        <v>1848</v>
      </c>
      <c r="N145" s="295">
        <v>1304</v>
      </c>
      <c r="O145" s="296" t="s">
        <v>673</v>
      </c>
      <c r="P145" s="295">
        <v>0</v>
      </c>
      <c r="Q145" s="295">
        <v>0</v>
      </c>
      <c r="R145" s="295">
        <v>0</v>
      </c>
      <c r="S145" s="295">
        <v>1374</v>
      </c>
      <c r="T145" s="295">
        <v>1374</v>
      </c>
      <c r="U145" s="295">
        <v>30</v>
      </c>
      <c r="V145" s="295">
        <v>10</v>
      </c>
      <c r="W145" s="295">
        <v>5.5</v>
      </c>
      <c r="X145" s="295">
        <v>5</v>
      </c>
      <c r="Y145" s="295">
        <v>18</v>
      </c>
      <c r="Z145" s="295">
        <v>0</v>
      </c>
      <c r="AA145" s="295">
        <v>0</v>
      </c>
      <c r="AB145" s="295">
        <v>0</v>
      </c>
      <c r="AC145" s="295">
        <v>0</v>
      </c>
      <c r="AD145" s="295">
        <v>0</v>
      </c>
      <c r="AE145" s="295">
        <v>0</v>
      </c>
      <c r="AF145" s="295">
        <v>0</v>
      </c>
      <c r="AG145" s="295">
        <v>0</v>
      </c>
      <c r="AH145" s="295">
        <v>1442.5</v>
      </c>
      <c r="AI145" s="362"/>
    </row>
    <row r="146" spans="1:35" ht="13.5" customHeight="1">
      <c r="A146" s="291">
        <v>31955</v>
      </c>
      <c r="B146" s="291">
        <v>42871</v>
      </c>
      <c r="C146" s="292" t="s">
        <v>980</v>
      </c>
      <c r="D146" s="293" t="s">
        <v>167</v>
      </c>
      <c r="E146" s="293" t="str">
        <f t="shared" si="2"/>
        <v>Q</v>
      </c>
      <c r="F146" s="293" t="s">
        <v>126</v>
      </c>
      <c r="G146" s="294">
        <v>700</v>
      </c>
      <c r="H146" s="292" t="s">
        <v>97</v>
      </c>
      <c r="I146" s="292" t="s">
        <v>1849</v>
      </c>
      <c r="J146" s="293" t="s">
        <v>445</v>
      </c>
      <c r="K146" s="293"/>
      <c r="L146" s="293" t="s">
        <v>445</v>
      </c>
      <c r="M146" s="293" t="s">
        <v>1850</v>
      </c>
      <c r="N146" s="295">
        <v>1344</v>
      </c>
      <c r="O146" s="296" t="s">
        <v>673</v>
      </c>
      <c r="P146" s="295">
        <v>0</v>
      </c>
      <c r="Q146" s="295">
        <v>0</v>
      </c>
      <c r="R146" s="295">
        <v>0</v>
      </c>
      <c r="S146" s="295">
        <v>1294</v>
      </c>
      <c r="T146" s="295">
        <v>1294</v>
      </c>
      <c r="U146" s="295">
        <v>30</v>
      </c>
      <c r="V146" s="295">
        <v>10</v>
      </c>
      <c r="W146" s="295">
        <v>5.5</v>
      </c>
      <c r="X146" s="295">
        <v>5</v>
      </c>
      <c r="Y146" s="295">
        <v>18</v>
      </c>
      <c r="Z146" s="295">
        <v>15</v>
      </c>
      <c r="AA146" s="295">
        <v>0</v>
      </c>
      <c r="AB146" s="295">
        <v>0</v>
      </c>
      <c r="AC146" s="295">
        <v>0</v>
      </c>
      <c r="AD146" s="295">
        <v>0</v>
      </c>
      <c r="AE146" s="295">
        <v>0</v>
      </c>
      <c r="AF146" s="295">
        <v>0</v>
      </c>
      <c r="AG146" s="295">
        <v>0</v>
      </c>
      <c r="AH146" s="295">
        <v>1377.5</v>
      </c>
      <c r="AI146" s="362"/>
    </row>
    <row r="147" spans="1:35" ht="13.5" customHeight="1">
      <c r="A147" s="291">
        <v>31920</v>
      </c>
      <c r="B147" s="291">
        <v>42805</v>
      </c>
      <c r="C147" s="292" t="s">
        <v>981</v>
      </c>
      <c r="D147" s="293" t="s">
        <v>281</v>
      </c>
      <c r="E147" s="293" t="str">
        <f t="shared" si="2"/>
        <v>G</v>
      </c>
      <c r="F147" s="293" t="s">
        <v>126</v>
      </c>
      <c r="G147" s="294">
        <v>700</v>
      </c>
      <c r="H147" s="292" t="s">
        <v>97</v>
      </c>
      <c r="I147" s="292" t="s">
        <v>1851</v>
      </c>
      <c r="J147" s="293" t="s">
        <v>731</v>
      </c>
      <c r="K147" s="293"/>
      <c r="L147" s="293" t="s">
        <v>731</v>
      </c>
      <c r="M147" s="293" t="s">
        <v>1813</v>
      </c>
      <c r="N147" s="295">
        <v>1304</v>
      </c>
      <c r="O147" s="296" t="s">
        <v>673</v>
      </c>
      <c r="P147" s="295">
        <v>0</v>
      </c>
      <c r="Q147" s="295">
        <v>0</v>
      </c>
      <c r="R147" s="295">
        <v>0</v>
      </c>
      <c r="S147" s="295">
        <v>1334</v>
      </c>
      <c r="T147" s="295">
        <v>1334</v>
      </c>
      <c r="U147" s="295">
        <v>30</v>
      </c>
      <c r="V147" s="295">
        <v>10</v>
      </c>
      <c r="W147" s="295">
        <v>5.5</v>
      </c>
      <c r="X147" s="295">
        <v>5</v>
      </c>
      <c r="Y147" s="295">
        <v>18</v>
      </c>
      <c r="Z147" s="295">
        <v>15</v>
      </c>
      <c r="AA147" s="295">
        <v>0</v>
      </c>
      <c r="AB147" s="295">
        <v>0</v>
      </c>
      <c r="AC147" s="295">
        <v>0</v>
      </c>
      <c r="AD147" s="295">
        <v>0</v>
      </c>
      <c r="AE147" s="295">
        <v>0</v>
      </c>
      <c r="AF147" s="295">
        <v>0</v>
      </c>
      <c r="AG147" s="295">
        <v>0</v>
      </c>
      <c r="AH147" s="295">
        <v>1417.5</v>
      </c>
      <c r="AI147" s="362"/>
    </row>
    <row r="148" spans="1:35" ht="13.5" customHeight="1">
      <c r="A148" s="291">
        <v>31729</v>
      </c>
      <c r="B148" s="291">
        <v>43027</v>
      </c>
      <c r="C148" s="292" t="s">
        <v>982</v>
      </c>
      <c r="D148" s="293" t="s">
        <v>167</v>
      </c>
      <c r="E148" s="293" t="str">
        <f t="shared" si="2"/>
        <v>Q</v>
      </c>
      <c r="F148" s="293" t="s">
        <v>126</v>
      </c>
      <c r="G148" s="294">
        <v>700</v>
      </c>
      <c r="H148" s="292" t="s">
        <v>97</v>
      </c>
      <c r="I148" s="292" t="s">
        <v>983</v>
      </c>
      <c r="J148" s="293" t="s">
        <v>459</v>
      </c>
      <c r="K148" s="293"/>
      <c r="L148" s="293" t="s">
        <v>1972</v>
      </c>
      <c r="M148" s="293" t="s">
        <v>1973</v>
      </c>
      <c r="N148" s="295">
        <v>1344</v>
      </c>
      <c r="O148" s="296" t="s">
        <v>673</v>
      </c>
      <c r="P148" s="295">
        <v>0</v>
      </c>
      <c r="Q148" s="295">
        <v>0</v>
      </c>
      <c r="R148" s="295">
        <v>0</v>
      </c>
      <c r="S148" s="295">
        <v>1389</v>
      </c>
      <c r="T148" s="295">
        <v>1389</v>
      </c>
      <c r="U148" s="295">
        <v>30</v>
      </c>
      <c r="V148" s="295">
        <v>10</v>
      </c>
      <c r="W148" s="295">
        <v>5.5</v>
      </c>
      <c r="X148" s="295">
        <v>5</v>
      </c>
      <c r="Y148" s="295">
        <v>0</v>
      </c>
      <c r="Z148" s="295">
        <v>0</v>
      </c>
      <c r="AA148" s="295">
        <v>0</v>
      </c>
      <c r="AB148" s="295">
        <v>0</v>
      </c>
      <c r="AC148" s="295">
        <v>0</v>
      </c>
      <c r="AD148" s="295">
        <v>0</v>
      </c>
      <c r="AE148" s="295">
        <v>0</v>
      </c>
      <c r="AF148" s="295">
        <v>0</v>
      </c>
      <c r="AG148" s="295">
        <v>0</v>
      </c>
      <c r="AH148" s="295">
        <v>1439.5</v>
      </c>
      <c r="AI148" s="362"/>
    </row>
    <row r="149" spans="1:35" ht="13.5" customHeight="1">
      <c r="A149" s="291">
        <v>31868</v>
      </c>
      <c r="B149" s="291">
        <v>42694</v>
      </c>
      <c r="C149" s="292" t="s">
        <v>985</v>
      </c>
      <c r="D149" s="293" t="s">
        <v>164</v>
      </c>
      <c r="E149" s="293" t="str">
        <f t="shared" si="2"/>
        <v>F</v>
      </c>
      <c r="F149" s="293" t="s">
        <v>126</v>
      </c>
      <c r="G149" s="294">
        <v>700</v>
      </c>
      <c r="H149" s="292" t="s">
        <v>97</v>
      </c>
      <c r="I149" s="292" t="s">
        <v>986</v>
      </c>
      <c r="J149" s="293" t="s">
        <v>416</v>
      </c>
      <c r="K149" s="293"/>
      <c r="L149" s="293" t="s">
        <v>416</v>
      </c>
      <c r="M149" s="293" t="s">
        <v>501</v>
      </c>
      <c r="N149" s="295">
        <v>1234</v>
      </c>
      <c r="O149" s="296" t="s">
        <v>673</v>
      </c>
      <c r="P149" s="295">
        <v>0</v>
      </c>
      <c r="Q149" s="295">
        <v>0</v>
      </c>
      <c r="R149" s="295">
        <v>-1385.89</v>
      </c>
      <c r="S149" s="295">
        <v>1264</v>
      </c>
      <c r="T149" s="295">
        <v>1264</v>
      </c>
      <c r="U149" s="295">
        <v>30</v>
      </c>
      <c r="V149" s="295">
        <v>10</v>
      </c>
      <c r="W149" s="295">
        <v>5.5</v>
      </c>
      <c r="X149" s="295">
        <v>5</v>
      </c>
      <c r="Y149" s="295">
        <v>18</v>
      </c>
      <c r="Z149" s="295">
        <v>0</v>
      </c>
      <c r="AA149" s="295">
        <v>0</v>
      </c>
      <c r="AB149" s="295">
        <v>0</v>
      </c>
      <c r="AC149" s="295">
        <v>0</v>
      </c>
      <c r="AD149" s="295">
        <v>0</v>
      </c>
      <c r="AE149" s="295">
        <v>0</v>
      </c>
      <c r="AF149" s="295">
        <v>0</v>
      </c>
      <c r="AG149" s="295">
        <v>0</v>
      </c>
      <c r="AH149" s="295">
        <v>1332.5</v>
      </c>
      <c r="AI149" s="362"/>
    </row>
    <row r="150" spans="1:35" ht="13.5" customHeight="1">
      <c r="A150" s="291">
        <v>31463</v>
      </c>
      <c r="B150" s="291">
        <v>42653</v>
      </c>
      <c r="C150" s="292" t="s">
        <v>987</v>
      </c>
      <c r="D150" s="293" t="s">
        <v>167</v>
      </c>
      <c r="E150" s="293" t="str">
        <f t="shared" si="2"/>
        <v>Q</v>
      </c>
      <c r="F150" s="293" t="s">
        <v>126</v>
      </c>
      <c r="G150" s="294">
        <v>700</v>
      </c>
      <c r="H150" s="292" t="s">
        <v>142</v>
      </c>
      <c r="I150" s="292" t="s">
        <v>988</v>
      </c>
      <c r="J150" s="293" t="s">
        <v>989</v>
      </c>
      <c r="K150" s="293" t="s">
        <v>513</v>
      </c>
      <c r="L150" s="293" t="s">
        <v>760</v>
      </c>
      <c r="M150" s="293" t="s">
        <v>513</v>
      </c>
      <c r="N150" s="295">
        <v>1344</v>
      </c>
      <c r="O150" s="296" t="s">
        <v>673</v>
      </c>
      <c r="P150" s="295">
        <v>0</v>
      </c>
      <c r="Q150" s="295">
        <v>0</v>
      </c>
      <c r="R150" s="295">
        <v>0</v>
      </c>
      <c r="S150" s="295">
        <v>1389</v>
      </c>
      <c r="T150" s="295">
        <v>1389</v>
      </c>
      <c r="U150" s="295">
        <v>30</v>
      </c>
      <c r="V150" s="295">
        <v>10</v>
      </c>
      <c r="W150" s="295">
        <v>5.5</v>
      </c>
      <c r="X150" s="295">
        <v>5</v>
      </c>
      <c r="Y150" s="295">
        <v>18</v>
      </c>
      <c r="Z150" s="295">
        <v>0</v>
      </c>
      <c r="AA150" s="295">
        <v>0</v>
      </c>
      <c r="AB150" s="295">
        <v>0</v>
      </c>
      <c r="AC150" s="295">
        <v>0</v>
      </c>
      <c r="AD150" s="295">
        <v>0</v>
      </c>
      <c r="AE150" s="295">
        <v>0</v>
      </c>
      <c r="AF150" s="295">
        <v>0</v>
      </c>
      <c r="AG150" s="295">
        <v>0</v>
      </c>
      <c r="AH150" s="295">
        <v>1457.5</v>
      </c>
      <c r="AI150" s="362"/>
    </row>
    <row r="151" spans="1:35" ht="13.5" customHeight="1">
      <c r="A151" s="291">
        <v>32100</v>
      </c>
      <c r="B151" s="291">
        <v>43137</v>
      </c>
      <c r="C151" s="292" t="s">
        <v>990</v>
      </c>
      <c r="D151" s="293" t="s">
        <v>167</v>
      </c>
      <c r="E151" s="293" t="str">
        <f t="shared" si="2"/>
        <v>Q</v>
      </c>
      <c r="F151" s="293" t="s">
        <v>126</v>
      </c>
      <c r="G151" s="294">
        <v>700</v>
      </c>
      <c r="H151" s="292" t="s">
        <v>97</v>
      </c>
      <c r="I151" s="292" t="s">
        <v>2121</v>
      </c>
      <c r="J151" s="293" t="s">
        <v>2000</v>
      </c>
      <c r="K151" s="293"/>
      <c r="L151" s="293" t="s">
        <v>2000</v>
      </c>
      <c r="M151" s="293" t="s">
        <v>2122</v>
      </c>
      <c r="N151" s="295">
        <v>1344</v>
      </c>
      <c r="O151" s="296" t="s">
        <v>673</v>
      </c>
      <c r="P151" s="295">
        <v>0</v>
      </c>
      <c r="Q151" s="295">
        <v>0</v>
      </c>
      <c r="R151" s="295">
        <v>0</v>
      </c>
      <c r="S151" s="295">
        <v>1274</v>
      </c>
      <c r="T151" s="295">
        <v>1274</v>
      </c>
      <c r="U151" s="295">
        <v>30</v>
      </c>
      <c r="V151" s="295">
        <v>10</v>
      </c>
      <c r="W151" s="295">
        <v>5.5</v>
      </c>
      <c r="X151" s="295">
        <v>5</v>
      </c>
      <c r="Y151" s="295">
        <v>18</v>
      </c>
      <c r="Z151" s="295">
        <v>0</v>
      </c>
      <c r="AA151" s="295">
        <v>0</v>
      </c>
      <c r="AB151" s="295">
        <v>0</v>
      </c>
      <c r="AC151" s="295">
        <v>0</v>
      </c>
      <c r="AD151" s="295">
        <v>0</v>
      </c>
      <c r="AE151" s="295">
        <v>-490</v>
      </c>
      <c r="AF151" s="295">
        <v>0</v>
      </c>
      <c r="AG151" s="295">
        <v>0</v>
      </c>
      <c r="AH151" s="295">
        <v>852.5</v>
      </c>
      <c r="AI151" s="362"/>
    </row>
    <row r="152" spans="1:35" ht="13.5" customHeight="1">
      <c r="A152" s="291">
        <v>32035</v>
      </c>
      <c r="B152" s="291">
        <v>43021</v>
      </c>
      <c r="C152" s="292" t="s">
        <v>991</v>
      </c>
      <c r="D152" s="293" t="s">
        <v>281</v>
      </c>
      <c r="E152" s="293" t="str">
        <f t="shared" si="2"/>
        <v>G</v>
      </c>
      <c r="F152" s="293" t="s">
        <v>126</v>
      </c>
      <c r="G152" s="294">
        <v>700</v>
      </c>
      <c r="H152" s="292" t="s">
        <v>97</v>
      </c>
      <c r="I152" s="292" t="s">
        <v>1974</v>
      </c>
      <c r="J152" s="293" t="s">
        <v>447</v>
      </c>
      <c r="K152" s="293"/>
      <c r="L152" s="293" t="s">
        <v>447</v>
      </c>
      <c r="M152" s="293" t="s">
        <v>1838</v>
      </c>
      <c r="N152" s="295">
        <v>1304</v>
      </c>
      <c r="O152" s="296" t="s">
        <v>673</v>
      </c>
      <c r="P152" s="295">
        <v>0</v>
      </c>
      <c r="Q152" s="295">
        <v>0</v>
      </c>
      <c r="R152" s="295">
        <v>0</v>
      </c>
      <c r="S152" s="295">
        <v>1334</v>
      </c>
      <c r="T152" s="295">
        <v>1334</v>
      </c>
      <c r="U152" s="295">
        <v>30</v>
      </c>
      <c r="V152" s="295">
        <v>10</v>
      </c>
      <c r="W152" s="295">
        <v>5.5</v>
      </c>
      <c r="X152" s="295">
        <v>5</v>
      </c>
      <c r="Y152" s="295">
        <v>18</v>
      </c>
      <c r="Z152" s="295">
        <v>0</v>
      </c>
      <c r="AA152" s="295">
        <v>0</v>
      </c>
      <c r="AB152" s="295">
        <v>0</v>
      </c>
      <c r="AC152" s="295">
        <v>0</v>
      </c>
      <c r="AD152" s="295">
        <v>0</v>
      </c>
      <c r="AE152" s="295">
        <v>0</v>
      </c>
      <c r="AF152" s="295">
        <v>0</v>
      </c>
      <c r="AG152" s="295">
        <v>0</v>
      </c>
      <c r="AH152" s="295">
        <v>1402.5</v>
      </c>
      <c r="AI152" s="362"/>
    </row>
    <row r="153" spans="1:35" ht="13.5" customHeight="1">
      <c r="A153" s="291">
        <v>32093</v>
      </c>
      <c r="B153" s="291">
        <v>43127</v>
      </c>
      <c r="C153" s="292" t="s">
        <v>992</v>
      </c>
      <c r="D153" s="293" t="s">
        <v>281</v>
      </c>
      <c r="E153" s="293" t="str">
        <f t="shared" si="2"/>
        <v>G</v>
      </c>
      <c r="F153" s="293" t="s">
        <v>126</v>
      </c>
      <c r="G153" s="294">
        <v>700</v>
      </c>
      <c r="H153" s="292" t="s">
        <v>97</v>
      </c>
      <c r="I153" s="292" t="s">
        <v>2123</v>
      </c>
      <c r="J153" s="293" t="s">
        <v>492</v>
      </c>
      <c r="K153" s="293"/>
      <c r="L153" s="293" t="s">
        <v>492</v>
      </c>
      <c r="M153" s="293" t="s">
        <v>2105</v>
      </c>
      <c r="N153" s="295">
        <v>1274</v>
      </c>
      <c r="O153" s="296" t="s">
        <v>673</v>
      </c>
      <c r="P153" s="295">
        <v>0</v>
      </c>
      <c r="Q153" s="295">
        <v>0</v>
      </c>
      <c r="R153" s="295">
        <v>0</v>
      </c>
      <c r="S153" s="295">
        <v>1234</v>
      </c>
      <c r="T153" s="295">
        <v>1234</v>
      </c>
      <c r="U153" s="295">
        <v>30</v>
      </c>
      <c r="V153" s="295">
        <v>10</v>
      </c>
      <c r="W153" s="295">
        <v>5.5</v>
      </c>
      <c r="X153" s="295">
        <v>5</v>
      </c>
      <c r="Y153" s="295">
        <v>18</v>
      </c>
      <c r="Z153" s="295">
        <v>0</v>
      </c>
      <c r="AA153" s="295">
        <v>0</v>
      </c>
      <c r="AB153" s="295">
        <v>0</v>
      </c>
      <c r="AC153" s="295">
        <v>0</v>
      </c>
      <c r="AD153" s="295">
        <v>0</v>
      </c>
      <c r="AE153" s="295">
        <v>0</v>
      </c>
      <c r="AF153" s="295">
        <v>0</v>
      </c>
      <c r="AG153" s="295">
        <v>0</v>
      </c>
      <c r="AH153" s="295">
        <v>1302.5</v>
      </c>
      <c r="AI153" s="362"/>
    </row>
    <row r="154" spans="1:35" ht="13.5" customHeight="1">
      <c r="A154" s="291">
        <v>33</v>
      </c>
      <c r="B154" s="291">
        <v>42769</v>
      </c>
      <c r="C154" s="292" t="s">
        <v>993</v>
      </c>
      <c r="D154" s="293" t="s">
        <v>166</v>
      </c>
      <c r="E154" s="293" t="str">
        <f t="shared" si="2"/>
        <v>2</v>
      </c>
      <c r="F154" s="293" t="s">
        <v>126</v>
      </c>
      <c r="G154" s="294">
        <v>700</v>
      </c>
      <c r="H154" s="292" t="s">
        <v>97</v>
      </c>
      <c r="I154" s="292" t="s">
        <v>994</v>
      </c>
      <c r="J154" s="293" t="s">
        <v>995</v>
      </c>
      <c r="K154" s="293"/>
      <c r="L154" s="293" t="s">
        <v>429</v>
      </c>
      <c r="M154" s="293" t="s">
        <v>1852</v>
      </c>
      <c r="N154" s="295">
        <v>1334</v>
      </c>
      <c r="O154" s="296" t="s">
        <v>673</v>
      </c>
      <c r="P154" s="295">
        <v>0</v>
      </c>
      <c r="Q154" s="295">
        <v>0</v>
      </c>
      <c r="R154" s="295">
        <v>-34.67</v>
      </c>
      <c r="S154" s="295">
        <v>1405</v>
      </c>
      <c r="T154" s="295">
        <v>1405</v>
      </c>
      <c r="U154" s="295">
        <v>30</v>
      </c>
      <c r="V154" s="295">
        <v>10</v>
      </c>
      <c r="W154" s="295">
        <v>5.5</v>
      </c>
      <c r="X154" s="295">
        <v>5</v>
      </c>
      <c r="Y154" s="295">
        <v>18</v>
      </c>
      <c r="Z154" s="295">
        <v>30</v>
      </c>
      <c r="AA154" s="295">
        <v>0</v>
      </c>
      <c r="AB154" s="295">
        <v>0</v>
      </c>
      <c r="AC154" s="295">
        <v>0</v>
      </c>
      <c r="AD154" s="295">
        <v>0</v>
      </c>
      <c r="AE154" s="295">
        <v>0</v>
      </c>
      <c r="AF154" s="295">
        <v>0</v>
      </c>
      <c r="AG154" s="295">
        <v>0</v>
      </c>
      <c r="AH154" s="295">
        <v>1503.5</v>
      </c>
      <c r="AI154" s="362"/>
    </row>
    <row r="155" spans="1:35" ht="13.5" customHeight="1">
      <c r="A155" s="291">
        <v>21388</v>
      </c>
      <c r="B155" s="291">
        <v>42687</v>
      </c>
      <c r="C155" s="292" t="s">
        <v>996</v>
      </c>
      <c r="D155" s="293" t="s">
        <v>167</v>
      </c>
      <c r="E155" s="293" t="str">
        <f t="shared" si="2"/>
        <v>Q</v>
      </c>
      <c r="F155" s="293" t="s">
        <v>126</v>
      </c>
      <c r="G155" s="294">
        <v>700</v>
      </c>
      <c r="H155" s="292" t="s">
        <v>97</v>
      </c>
      <c r="I155" s="292" t="s">
        <v>997</v>
      </c>
      <c r="J155" s="293" t="s">
        <v>998</v>
      </c>
      <c r="K155" s="293"/>
      <c r="L155" s="293" t="s">
        <v>393</v>
      </c>
      <c r="M155" s="293" t="s">
        <v>522</v>
      </c>
      <c r="N155" s="295">
        <v>1344</v>
      </c>
      <c r="O155" s="296" t="s">
        <v>673</v>
      </c>
      <c r="P155" s="295">
        <v>0</v>
      </c>
      <c r="Q155" s="295">
        <v>0</v>
      </c>
      <c r="R155" s="295">
        <v>-1473.37</v>
      </c>
      <c r="S155" s="295">
        <v>1339</v>
      </c>
      <c r="T155" s="295">
        <v>1339</v>
      </c>
      <c r="U155" s="295">
        <v>30</v>
      </c>
      <c r="V155" s="295">
        <v>10</v>
      </c>
      <c r="W155" s="295">
        <v>5.5</v>
      </c>
      <c r="X155" s="295">
        <v>5</v>
      </c>
      <c r="Y155" s="295">
        <v>18</v>
      </c>
      <c r="Z155" s="295">
        <v>15</v>
      </c>
      <c r="AA155" s="295">
        <v>0</v>
      </c>
      <c r="AB155" s="295">
        <v>0</v>
      </c>
      <c r="AC155" s="295">
        <v>0</v>
      </c>
      <c r="AD155" s="295">
        <v>0</v>
      </c>
      <c r="AE155" s="295">
        <v>0</v>
      </c>
      <c r="AF155" s="295">
        <v>0</v>
      </c>
      <c r="AG155" s="295">
        <v>0</v>
      </c>
      <c r="AH155" s="295">
        <v>1422.5</v>
      </c>
      <c r="AI155" s="362"/>
    </row>
    <row r="156" spans="1:35" ht="13.5" customHeight="1">
      <c r="A156" s="291">
        <v>31541</v>
      </c>
      <c r="B156" s="291">
        <v>42794</v>
      </c>
      <c r="C156" s="292" t="s">
        <v>999</v>
      </c>
      <c r="D156" s="293" t="s">
        <v>167</v>
      </c>
      <c r="E156" s="293" t="str">
        <f t="shared" si="2"/>
        <v>Q</v>
      </c>
      <c r="F156" s="293" t="s">
        <v>126</v>
      </c>
      <c r="G156" s="294">
        <v>700</v>
      </c>
      <c r="H156" s="292" t="s">
        <v>97</v>
      </c>
      <c r="I156" s="292" t="s">
        <v>1000</v>
      </c>
      <c r="J156" s="293" t="s">
        <v>376</v>
      </c>
      <c r="K156" s="293"/>
      <c r="L156" s="293" t="s">
        <v>1113</v>
      </c>
      <c r="M156" s="293" t="s">
        <v>1813</v>
      </c>
      <c r="N156" s="295">
        <v>1344</v>
      </c>
      <c r="O156" s="296" t="s">
        <v>673</v>
      </c>
      <c r="P156" s="295">
        <v>0</v>
      </c>
      <c r="Q156" s="295">
        <v>0</v>
      </c>
      <c r="R156" s="295">
        <v>-1523.37</v>
      </c>
      <c r="S156" s="295">
        <v>1404</v>
      </c>
      <c r="T156" s="295">
        <v>1404</v>
      </c>
      <c r="U156" s="295">
        <v>30</v>
      </c>
      <c r="V156" s="295">
        <v>10</v>
      </c>
      <c r="W156" s="295">
        <v>5.5</v>
      </c>
      <c r="X156" s="295">
        <v>5</v>
      </c>
      <c r="Y156" s="295">
        <v>18</v>
      </c>
      <c r="Z156" s="295">
        <v>0</v>
      </c>
      <c r="AA156" s="295">
        <v>0</v>
      </c>
      <c r="AB156" s="295">
        <v>0</v>
      </c>
      <c r="AC156" s="295">
        <v>0</v>
      </c>
      <c r="AD156" s="295">
        <v>0</v>
      </c>
      <c r="AE156" s="295">
        <v>0</v>
      </c>
      <c r="AF156" s="295">
        <v>0</v>
      </c>
      <c r="AG156" s="295">
        <v>0</v>
      </c>
      <c r="AH156" s="295">
        <v>1472.5</v>
      </c>
      <c r="AI156" s="362"/>
    </row>
    <row r="157" spans="1:35" ht="13.5" customHeight="1">
      <c r="A157" s="291">
        <v>31698</v>
      </c>
      <c r="B157" s="291">
        <v>43028</v>
      </c>
      <c r="C157" s="292" t="s">
        <v>1001</v>
      </c>
      <c r="D157" s="293" t="s">
        <v>167</v>
      </c>
      <c r="E157" s="293" t="str">
        <f t="shared" si="2"/>
        <v>Q</v>
      </c>
      <c r="F157" s="293" t="s">
        <v>126</v>
      </c>
      <c r="G157" s="294">
        <v>700</v>
      </c>
      <c r="H157" s="292" t="s">
        <v>97</v>
      </c>
      <c r="I157" s="292" t="s">
        <v>1002</v>
      </c>
      <c r="J157" s="293" t="s">
        <v>432</v>
      </c>
      <c r="K157" s="293"/>
      <c r="L157" s="293" t="s">
        <v>1975</v>
      </c>
      <c r="M157" s="293" t="s">
        <v>1973</v>
      </c>
      <c r="N157" s="295">
        <v>1344</v>
      </c>
      <c r="O157" s="296" t="s">
        <v>673</v>
      </c>
      <c r="P157" s="295">
        <v>0</v>
      </c>
      <c r="Q157" s="295">
        <v>0</v>
      </c>
      <c r="R157" s="295">
        <v>0</v>
      </c>
      <c r="S157" s="295">
        <v>1299</v>
      </c>
      <c r="T157" s="295">
        <v>1299</v>
      </c>
      <c r="U157" s="295">
        <v>30</v>
      </c>
      <c r="V157" s="295">
        <v>10</v>
      </c>
      <c r="W157" s="295">
        <v>5.5</v>
      </c>
      <c r="X157" s="295">
        <v>5</v>
      </c>
      <c r="Y157" s="295">
        <v>18</v>
      </c>
      <c r="Z157" s="295">
        <v>0</v>
      </c>
      <c r="AA157" s="295">
        <v>0</v>
      </c>
      <c r="AB157" s="295">
        <v>0</v>
      </c>
      <c r="AC157" s="295">
        <v>0</v>
      </c>
      <c r="AD157" s="295">
        <v>0</v>
      </c>
      <c r="AE157" s="295">
        <v>0</v>
      </c>
      <c r="AF157" s="295">
        <v>0</v>
      </c>
      <c r="AG157" s="295">
        <v>0</v>
      </c>
      <c r="AH157" s="295">
        <v>1367.5</v>
      </c>
      <c r="AI157" s="362"/>
    </row>
    <row r="158" spans="1:35" ht="13.5" customHeight="1">
      <c r="A158" s="291">
        <v>31865</v>
      </c>
      <c r="B158" s="291">
        <v>42683</v>
      </c>
      <c r="C158" s="292" t="s">
        <v>1003</v>
      </c>
      <c r="D158" s="293" t="s">
        <v>167</v>
      </c>
      <c r="E158" s="293" t="str">
        <f t="shared" si="2"/>
        <v>Q</v>
      </c>
      <c r="F158" s="293" t="s">
        <v>126</v>
      </c>
      <c r="G158" s="294">
        <v>700</v>
      </c>
      <c r="H158" s="292" t="s">
        <v>142</v>
      </c>
      <c r="I158" s="292" t="s">
        <v>1004</v>
      </c>
      <c r="J158" s="293" t="s">
        <v>377</v>
      </c>
      <c r="K158" s="293" t="s">
        <v>507</v>
      </c>
      <c r="L158" s="293" t="s">
        <v>377</v>
      </c>
      <c r="M158" s="293" t="s">
        <v>488</v>
      </c>
      <c r="N158" s="295">
        <v>1344</v>
      </c>
      <c r="O158" s="296" t="s">
        <v>673</v>
      </c>
      <c r="P158" s="295">
        <v>0</v>
      </c>
      <c r="Q158" s="295">
        <v>0</v>
      </c>
      <c r="R158" s="295">
        <v>56.85</v>
      </c>
      <c r="S158" s="295">
        <v>1374</v>
      </c>
      <c r="T158" s="295">
        <v>1374</v>
      </c>
      <c r="U158" s="295">
        <v>30</v>
      </c>
      <c r="V158" s="295">
        <v>10</v>
      </c>
      <c r="W158" s="295">
        <v>5.5</v>
      </c>
      <c r="X158" s="295">
        <v>5</v>
      </c>
      <c r="Y158" s="295">
        <v>18</v>
      </c>
      <c r="Z158" s="295">
        <v>0</v>
      </c>
      <c r="AA158" s="295">
        <v>70</v>
      </c>
      <c r="AB158" s="295">
        <v>0</v>
      </c>
      <c r="AC158" s="295">
        <v>0</v>
      </c>
      <c r="AD158" s="295">
        <v>250</v>
      </c>
      <c r="AE158" s="295">
        <v>0</v>
      </c>
      <c r="AF158" s="295">
        <v>0</v>
      </c>
      <c r="AG158" s="295">
        <v>0</v>
      </c>
      <c r="AH158" s="295">
        <v>1762.5</v>
      </c>
      <c r="AI158" s="362"/>
    </row>
    <row r="159" spans="1:35" ht="13.5" customHeight="1">
      <c r="A159" s="291">
        <v>175</v>
      </c>
      <c r="B159" s="291">
        <v>43033</v>
      </c>
      <c r="C159" s="292" t="s">
        <v>1005</v>
      </c>
      <c r="D159" s="293" t="s">
        <v>169</v>
      </c>
      <c r="E159" s="293" t="str">
        <f t="shared" si="2"/>
        <v>3</v>
      </c>
      <c r="F159" s="293" t="s">
        <v>126</v>
      </c>
      <c r="G159" s="294">
        <v>825</v>
      </c>
      <c r="H159" s="292" t="s">
        <v>97</v>
      </c>
      <c r="I159" s="292" t="s">
        <v>1006</v>
      </c>
      <c r="J159" s="293" t="s">
        <v>1007</v>
      </c>
      <c r="K159" s="293"/>
      <c r="L159" s="293" t="s">
        <v>1976</v>
      </c>
      <c r="M159" s="293" t="s">
        <v>1977</v>
      </c>
      <c r="N159" s="295">
        <v>1394</v>
      </c>
      <c r="O159" s="296" t="s">
        <v>673</v>
      </c>
      <c r="P159" s="295">
        <v>500</v>
      </c>
      <c r="Q159" s="295">
        <v>500</v>
      </c>
      <c r="R159" s="295">
        <v>0</v>
      </c>
      <c r="S159" s="295">
        <v>1490</v>
      </c>
      <c r="T159" s="295">
        <v>1490</v>
      </c>
      <c r="U159" s="295">
        <v>30</v>
      </c>
      <c r="V159" s="295">
        <v>10</v>
      </c>
      <c r="W159" s="295">
        <v>5.5</v>
      </c>
      <c r="X159" s="295">
        <v>5</v>
      </c>
      <c r="Y159" s="295">
        <v>18</v>
      </c>
      <c r="Z159" s="295">
        <v>30</v>
      </c>
      <c r="AA159" s="295">
        <v>0</v>
      </c>
      <c r="AB159" s="295">
        <v>0</v>
      </c>
      <c r="AC159" s="295">
        <v>0</v>
      </c>
      <c r="AD159" s="295">
        <v>0</v>
      </c>
      <c r="AE159" s="295">
        <v>0</v>
      </c>
      <c r="AF159" s="295">
        <v>0</v>
      </c>
      <c r="AG159" s="295">
        <v>0</v>
      </c>
      <c r="AH159" s="295">
        <v>1588.5</v>
      </c>
      <c r="AI159" s="362"/>
    </row>
    <row r="160" spans="1:35" ht="13.5" customHeight="1">
      <c r="A160" s="291">
        <v>435</v>
      </c>
      <c r="B160" s="291">
        <v>42721</v>
      </c>
      <c r="C160" s="292" t="s">
        <v>1008</v>
      </c>
      <c r="D160" s="293" t="s">
        <v>169</v>
      </c>
      <c r="E160" s="293" t="str">
        <f t="shared" si="2"/>
        <v>3</v>
      </c>
      <c r="F160" s="293" t="s">
        <v>126</v>
      </c>
      <c r="G160" s="294">
        <v>825</v>
      </c>
      <c r="H160" s="292" t="s">
        <v>97</v>
      </c>
      <c r="I160" s="292" t="s">
        <v>1009</v>
      </c>
      <c r="J160" s="293" t="s">
        <v>1010</v>
      </c>
      <c r="K160" s="293"/>
      <c r="L160" s="293" t="s">
        <v>499</v>
      </c>
      <c r="M160" s="293" t="s">
        <v>494</v>
      </c>
      <c r="N160" s="295">
        <v>1394</v>
      </c>
      <c r="O160" s="296" t="s">
        <v>673</v>
      </c>
      <c r="P160" s="295">
        <v>500</v>
      </c>
      <c r="Q160" s="295">
        <v>500</v>
      </c>
      <c r="R160" s="295">
        <v>0</v>
      </c>
      <c r="S160" s="295">
        <v>1542</v>
      </c>
      <c r="T160" s="295">
        <v>1542</v>
      </c>
      <c r="U160" s="295">
        <v>30</v>
      </c>
      <c r="V160" s="295">
        <v>10</v>
      </c>
      <c r="W160" s="295">
        <v>5.5</v>
      </c>
      <c r="X160" s="295">
        <v>5</v>
      </c>
      <c r="Y160" s="295">
        <v>18</v>
      </c>
      <c r="Z160" s="295">
        <v>0</v>
      </c>
      <c r="AA160" s="295">
        <v>0</v>
      </c>
      <c r="AB160" s="295">
        <v>0</v>
      </c>
      <c r="AC160" s="295">
        <v>0</v>
      </c>
      <c r="AD160" s="295">
        <v>0</v>
      </c>
      <c r="AE160" s="295">
        <v>0</v>
      </c>
      <c r="AF160" s="295">
        <v>0</v>
      </c>
      <c r="AG160" s="295">
        <v>0</v>
      </c>
      <c r="AH160" s="295">
        <v>1610.5</v>
      </c>
      <c r="AI160" s="362"/>
    </row>
    <row r="161" spans="1:35" ht="13.5" customHeight="1">
      <c r="A161" s="291">
        <v>11177</v>
      </c>
      <c r="B161" s="291">
        <v>42868</v>
      </c>
      <c r="C161" s="292" t="s">
        <v>1011</v>
      </c>
      <c r="D161" s="293" t="s">
        <v>691</v>
      </c>
      <c r="E161" s="293" t="str">
        <f t="shared" si="2"/>
        <v>G</v>
      </c>
      <c r="F161" s="293" t="s">
        <v>126</v>
      </c>
      <c r="G161" s="294">
        <v>825</v>
      </c>
      <c r="H161" s="292" t="s">
        <v>97</v>
      </c>
      <c r="I161" s="292" t="s">
        <v>1012</v>
      </c>
      <c r="J161" s="293" t="s">
        <v>1013</v>
      </c>
      <c r="K161" s="293"/>
      <c r="L161" s="293" t="s">
        <v>1832</v>
      </c>
      <c r="M161" s="293" t="s">
        <v>1833</v>
      </c>
      <c r="N161" s="295">
        <v>1364</v>
      </c>
      <c r="O161" s="296" t="s">
        <v>673</v>
      </c>
      <c r="P161" s="295">
        <v>0</v>
      </c>
      <c r="Q161" s="295">
        <v>0</v>
      </c>
      <c r="R161" s="295">
        <v>0</v>
      </c>
      <c r="S161" s="295">
        <v>1434</v>
      </c>
      <c r="T161" s="295">
        <v>1434</v>
      </c>
      <c r="U161" s="295">
        <v>30</v>
      </c>
      <c r="V161" s="295">
        <v>10</v>
      </c>
      <c r="W161" s="295">
        <v>5.5</v>
      </c>
      <c r="X161" s="295">
        <v>5</v>
      </c>
      <c r="Y161" s="295">
        <v>18</v>
      </c>
      <c r="Z161" s="295">
        <v>15</v>
      </c>
      <c r="AA161" s="295">
        <v>0</v>
      </c>
      <c r="AB161" s="295">
        <v>0</v>
      </c>
      <c r="AC161" s="295">
        <v>0</v>
      </c>
      <c r="AD161" s="295">
        <v>0</v>
      </c>
      <c r="AE161" s="295">
        <v>0</v>
      </c>
      <c r="AF161" s="295">
        <v>0</v>
      </c>
      <c r="AG161" s="295">
        <v>0</v>
      </c>
      <c r="AH161" s="295">
        <v>1517.5</v>
      </c>
      <c r="AI161" s="362"/>
    </row>
    <row r="162" spans="1:35" ht="13.5" customHeight="1">
      <c r="A162" s="291">
        <v>32156</v>
      </c>
      <c r="B162" s="291">
        <v>43252</v>
      </c>
      <c r="C162" s="292" t="s">
        <v>1014</v>
      </c>
      <c r="D162" s="293" t="s">
        <v>180</v>
      </c>
      <c r="E162" s="293" t="str">
        <f t="shared" si="2"/>
        <v>Q</v>
      </c>
      <c r="F162" s="293" t="s">
        <v>126</v>
      </c>
      <c r="G162" s="294">
        <v>825</v>
      </c>
      <c r="H162" s="292" t="s">
        <v>97</v>
      </c>
      <c r="I162" s="292" t="s">
        <v>2124</v>
      </c>
      <c r="J162" s="293" t="s">
        <v>1568</v>
      </c>
      <c r="K162" s="293"/>
      <c r="L162" s="293" t="s">
        <v>1568</v>
      </c>
      <c r="M162" s="293" t="s">
        <v>2125</v>
      </c>
      <c r="N162" s="295">
        <v>1404</v>
      </c>
      <c r="O162" s="296" t="s">
        <v>673</v>
      </c>
      <c r="P162" s="295">
        <v>0</v>
      </c>
      <c r="Q162" s="295">
        <v>0</v>
      </c>
      <c r="R162" s="295">
        <v>0</v>
      </c>
      <c r="S162" s="295">
        <v>1404</v>
      </c>
      <c r="T162" s="295">
        <v>1404</v>
      </c>
      <c r="U162" s="295">
        <v>30</v>
      </c>
      <c r="V162" s="295">
        <v>10</v>
      </c>
      <c r="W162" s="295">
        <v>5.5</v>
      </c>
      <c r="X162" s="295">
        <v>5</v>
      </c>
      <c r="Y162" s="295">
        <v>18</v>
      </c>
      <c r="Z162" s="295">
        <v>0</v>
      </c>
      <c r="AA162" s="295">
        <v>70</v>
      </c>
      <c r="AB162" s="295">
        <v>0</v>
      </c>
      <c r="AC162" s="295">
        <v>0</v>
      </c>
      <c r="AD162" s="295">
        <v>0</v>
      </c>
      <c r="AE162" s="295">
        <v>0</v>
      </c>
      <c r="AF162" s="295">
        <v>0</v>
      </c>
      <c r="AG162" s="295">
        <v>0</v>
      </c>
      <c r="AH162" s="295">
        <v>1542.5</v>
      </c>
      <c r="AI162" s="362"/>
    </row>
    <row r="163" spans="1:35" ht="13.5" customHeight="1">
      <c r="A163" s="291">
        <v>31578</v>
      </c>
      <c r="B163" s="291">
        <v>42939</v>
      </c>
      <c r="C163" s="292" t="s">
        <v>1015</v>
      </c>
      <c r="D163" s="293" t="s">
        <v>691</v>
      </c>
      <c r="E163" s="293" t="str">
        <f t="shared" si="2"/>
        <v>G</v>
      </c>
      <c r="F163" s="293" t="s">
        <v>126</v>
      </c>
      <c r="G163" s="294">
        <v>825</v>
      </c>
      <c r="H163" s="292" t="s">
        <v>97</v>
      </c>
      <c r="I163" s="292" t="s">
        <v>1016</v>
      </c>
      <c r="J163" s="293" t="s">
        <v>415</v>
      </c>
      <c r="K163" s="293"/>
      <c r="L163" s="293" t="s">
        <v>723</v>
      </c>
      <c r="M163" s="293" t="s">
        <v>1941</v>
      </c>
      <c r="N163" s="295">
        <v>1364</v>
      </c>
      <c r="O163" s="296" t="s">
        <v>673</v>
      </c>
      <c r="P163" s="295">
        <v>0</v>
      </c>
      <c r="Q163" s="295">
        <v>0</v>
      </c>
      <c r="R163" s="295">
        <v>0</v>
      </c>
      <c r="S163" s="295">
        <v>1424</v>
      </c>
      <c r="T163" s="295">
        <v>1424</v>
      </c>
      <c r="U163" s="295">
        <v>30</v>
      </c>
      <c r="V163" s="295">
        <v>10</v>
      </c>
      <c r="W163" s="295">
        <v>5.5</v>
      </c>
      <c r="X163" s="295">
        <v>5</v>
      </c>
      <c r="Y163" s="295">
        <v>18</v>
      </c>
      <c r="Z163" s="295">
        <v>15</v>
      </c>
      <c r="AA163" s="295">
        <v>0</v>
      </c>
      <c r="AB163" s="295">
        <v>0</v>
      </c>
      <c r="AC163" s="295">
        <v>0</v>
      </c>
      <c r="AD163" s="295">
        <v>0</v>
      </c>
      <c r="AE163" s="295">
        <v>0</v>
      </c>
      <c r="AF163" s="295">
        <v>0</v>
      </c>
      <c r="AG163" s="295">
        <v>0</v>
      </c>
      <c r="AH163" s="295">
        <v>1507.5</v>
      </c>
      <c r="AI163" s="362"/>
    </row>
    <row r="164" spans="1:35" ht="13.5" customHeight="1">
      <c r="A164" s="291">
        <v>47</v>
      </c>
      <c r="B164" s="291">
        <v>42972</v>
      </c>
      <c r="C164" s="292" t="s">
        <v>1017</v>
      </c>
      <c r="D164" s="293" t="s">
        <v>169</v>
      </c>
      <c r="E164" s="293" t="str">
        <f t="shared" si="2"/>
        <v>3</v>
      </c>
      <c r="F164" s="293" t="s">
        <v>126</v>
      </c>
      <c r="G164" s="294">
        <v>825</v>
      </c>
      <c r="H164" s="292" t="s">
        <v>97</v>
      </c>
      <c r="I164" s="292" t="s">
        <v>1018</v>
      </c>
      <c r="J164" s="293" t="s">
        <v>1019</v>
      </c>
      <c r="K164" s="293"/>
      <c r="L164" s="293" t="s">
        <v>450</v>
      </c>
      <c r="M164" s="293" t="s">
        <v>1952</v>
      </c>
      <c r="N164" s="295">
        <v>1394</v>
      </c>
      <c r="O164" s="296" t="s">
        <v>673</v>
      </c>
      <c r="P164" s="295">
        <v>0</v>
      </c>
      <c r="Q164" s="295">
        <v>0</v>
      </c>
      <c r="R164" s="295">
        <v>0</v>
      </c>
      <c r="S164" s="295">
        <v>1473</v>
      </c>
      <c r="T164" s="295">
        <v>1473</v>
      </c>
      <c r="U164" s="295">
        <v>30</v>
      </c>
      <c r="V164" s="295">
        <v>10</v>
      </c>
      <c r="W164" s="295">
        <v>5.5</v>
      </c>
      <c r="X164" s="295">
        <v>5</v>
      </c>
      <c r="Y164" s="295">
        <v>18</v>
      </c>
      <c r="Z164" s="295">
        <v>0</v>
      </c>
      <c r="AA164" s="295">
        <v>0</v>
      </c>
      <c r="AB164" s="295">
        <v>0</v>
      </c>
      <c r="AC164" s="295">
        <v>0</v>
      </c>
      <c r="AD164" s="295">
        <v>0</v>
      </c>
      <c r="AE164" s="295">
        <v>0</v>
      </c>
      <c r="AF164" s="295">
        <v>0</v>
      </c>
      <c r="AG164" s="295">
        <v>0</v>
      </c>
      <c r="AH164" s="295">
        <v>1541.5</v>
      </c>
      <c r="AI164" s="362"/>
    </row>
    <row r="165" spans="1:35" ht="13.5" customHeight="1">
      <c r="A165" s="291">
        <v>31926</v>
      </c>
      <c r="B165" s="291">
        <v>42816</v>
      </c>
      <c r="C165" s="292" t="s">
        <v>1021</v>
      </c>
      <c r="D165" s="293" t="s">
        <v>171</v>
      </c>
      <c r="E165" s="293" t="str">
        <f t="shared" si="2"/>
        <v>F</v>
      </c>
      <c r="F165" s="293" t="s">
        <v>126</v>
      </c>
      <c r="G165" s="294">
        <v>825</v>
      </c>
      <c r="H165" s="292" t="s">
        <v>97</v>
      </c>
      <c r="I165" s="292" t="s">
        <v>1022</v>
      </c>
      <c r="J165" s="293" t="s">
        <v>498</v>
      </c>
      <c r="K165" s="293"/>
      <c r="L165" s="293" t="s">
        <v>498</v>
      </c>
      <c r="M165" s="293" t="s">
        <v>867</v>
      </c>
      <c r="N165" s="295">
        <v>1294</v>
      </c>
      <c r="O165" s="296" t="s">
        <v>673</v>
      </c>
      <c r="P165" s="295">
        <v>0</v>
      </c>
      <c r="Q165" s="295">
        <v>0</v>
      </c>
      <c r="R165" s="295">
        <v>1969.43</v>
      </c>
      <c r="S165" s="295">
        <v>1324</v>
      </c>
      <c r="T165" s="295">
        <v>1324</v>
      </c>
      <c r="U165" s="295">
        <v>30</v>
      </c>
      <c r="V165" s="295">
        <v>10</v>
      </c>
      <c r="W165" s="295">
        <v>5.5</v>
      </c>
      <c r="X165" s="295">
        <v>5</v>
      </c>
      <c r="Y165" s="295">
        <v>18</v>
      </c>
      <c r="Z165" s="295">
        <v>15</v>
      </c>
      <c r="AA165" s="295">
        <v>0</v>
      </c>
      <c r="AB165" s="295">
        <v>0</v>
      </c>
      <c r="AC165" s="295">
        <v>0</v>
      </c>
      <c r="AD165" s="295">
        <v>0</v>
      </c>
      <c r="AE165" s="295">
        <v>0</v>
      </c>
      <c r="AF165" s="295">
        <v>0</v>
      </c>
      <c r="AG165" s="295">
        <v>0</v>
      </c>
      <c r="AH165" s="295">
        <v>1407.5</v>
      </c>
      <c r="AI165" s="362"/>
    </row>
    <row r="166" spans="1:35" ht="13.5" customHeight="1">
      <c r="A166" s="291">
        <v>21445</v>
      </c>
      <c r="B166" s="291">
        <v>42727</v>
      </c>
      <c r="C166" s="292" t="s">
        <v>1023</v>
      </c>
      <c r="D166" s="293" t="s">
        <v>180</v>
      </c>
      <c r="E166" s="293" t="str">
        <f t="shared" si="2"/>
        <v>Q</v>
      </c>
      <c r="F166" s="293" t="s">
        <v>126</v>
      </c>
      <c r="G166" s="294">
        <v>825</v>
      </c>
      <c r="H166" s="292" t="s">
        <v>97</v>
      </c>
      <c r="I166" s="292" t="s">
        <v>1024</v>
      </c>
      <c r="J166" s="293" t="s">
        <v>1025</v>
      </c>
      <c r="K166" s="293"/>
      <c r="L166" s="293" t="s">
        <v>535</v>
      </c>
      <c r="M166" s="293" t="s">
        <v>536</v>
      </c>
      <c r="N166" s="295">
        <v>1404</v>
      </c>
      <c r="O166" s="296" t="s">
        <v>673</v>
      </c>
      <c r="P166" s="295">
        <v>0</v>
      </c>
      <c r="Q166" s="295">
        <v>0</v>
      </c>
      <c r="R166" s="295">
        <v>0</v>
      </c>
      <c r="S166" s="295">
        <v>1464</v>
      </c>
      <c r="T166" s="295">
        <v>1464</v>
      </c>
      <c r="U166" s="295">
        <v>30</v>
      </c>
      <c r="V166" s="295">
        <v>10</v>
      </c>
      <c r="W166" s="295">
        <v>5.5</v>
      </c>
      <c r="X166" s="295">
        <v>5</v>
      </c>
      <c r="Y166" s="295">
        <v>18</v>
      </c>
      <c r="Z166" s="295">
        <v>0</v>
      </c>
      <c r="AA166" s="295">
        <v>0</v>
      </c>
      <c r="AB166" s="295">
        <v>0</v>
      </c>
      <c r="AC166" s="295">
        <v>0</v>
      </c>
      <c r="AD166" s="295">
        <v>0</v>
      </c>
      <c r="AE166" s="295">
        <v>0</v>
      </c>
      <c r="AF166" s="295">
        <v>0</v>
      </c>
      <c r="AG166" s="295">
        <v>0</v>
      </c>
      <c r="AH166" s="295">
        <v>1532.5</v>
      </c>
      <c r="AI166" s="362"/>
    </row>
    <row r="167" spans="1:35" ht="13.5" customHeight="1">
      <c r="A167" s="291">
        <v>11257</v>
      </c>
      <c r="B167" s="291">
        <v>42980</v>
      </c>
      <c r="C167" s="292" t="s">
        <v>1026</v>
      </c>
      <c r="D167" s="293" t="s">
        <v>147</v>
      </c>
      <c r="E167" s="293" t="str">
        <f t="shared" si="2"/>
        <v>Q</v>
      </c>
      <c r="F167" s="293" t="s">
        <v>126</v>
      </c>
      <c r="G167" s="294">
        <v>1076</v>
      </c>
      <c r="H167" s="292" t="s">
        <v>97</v>
      </c>
      <c r="I167" s="292" t="s">
        <v>1027</v>
      </c>
      <c r="J167" s="293" t="s">
        <v>352</v>
      </c>
      <c r="K167" s="293"/>
      <c r="L167" s="293" t="s">
        <v>1389</v>
      </c>
      <c r="M167" s="293" t="s">
        <v>1978</v>
      </c>
      <c r="N167" s="295">
        <v>1644</v>
      </c>
      <c r="O167" s="296" t="s">
        <v>673</v>
      </c>
      <c r="P167" s="295">
        <v>0</v>
      </c>
      <c r="Q167" s="295">
        <v>0</v>
      </c>
      <c r="R167" s="295">
        <v>0</v>
      </c>
      <c r="S167" s="295">
        <v>1694</v>
      </c>
      <c r="T167" s="295">
        <v>1694</v>
      </c>
      <c r="U167" s="295">
        <v>30</v>
      </c>
      <c r="V167" s="295">
        <v>10</v>
      </c>
      <c r="W167" s="295">
        <v>5.5</v>
      </c>
      <c r="X167" s="295">
        <v>5</v>
      </c>
      <c r="Y167" s="295">
        <v>18</v>
      </c>
      <c r="Z167" s="295">
        <v>15</v>
      </c>
      <c r="AA167" s="295">
        <v>0</v>
      </c>
      <c r="AB167" s="295">
        <v>0</v>
      </c>
      <c r="AC167" s="295">
        <v>0</v>
      </c>
      <c r="AD167" s="295">
        <v>0</v>
      </c>
      <c r="AE167" s="295">
        <v>0</v>
      </c>
      <c r="AF167" s="295">
        <v>0</v>
      </c>
      <c r="AG167" s="295">
        <v>0</v>
      </c>
      <c r="AH167" s="295">
        <v>1777.5</v>
      </c>
      <c r="AI167" s="362"/>
    </row>
    <row r="168" spans="1:35" ht="13.5" customHeight="1">
      <c r="A168" s="291">
        <v>31726</v>
      </c>
      <c r="B168" s="291">
        <v>43071</v>
      </c>
      <c r="C168" s="292" t="s">
        <v>1028</v>
      </c>
      <c r="D168" s="293" t="s">
        <v>147</v>
      </c>
      <c r="E168" s="293" t="str">
        <f t="shared" si="2"/>
        <v>Q</v>
      </c>
      <c r="F168" s="293" t="s">
        <v>126</v>
      </c>
      <c r="G168" s="294">
        <v>1076</v>
      </c>
      <c r="H168" s="292" t="s">
        <v>97</v>
      </c>
      <c r="I168" s="292" t="s">
        <v>1371</v>
      </c>
      <c r="J168" s="293" t="s">
        <v>418</v>
      </c>
      <c r="K168" s="293"/>
      <c r="L168" s="293" t="s">
        <v>418</v>
      </c>
      <c r="M168" s="293" t="s">
        <v>1937</v>
      </c>
      <c r="N168" s="295">
        <v>1644</v>
      </c>
      <c r="O168" s="296" t="s">
        <v>673</v>
      </c>
      <c r="P168" s="295">
        <v>0</v>
      </c>
      <c r="Q168" s="295">
        <v>0</v>
      </c>
      <c r="R168" s="295">
        <v>-1243.3800000000001</v>
      </c>
      <c r="S168" s="295">
        <v>1574</v>
      </c>
      <c r="T168" s="295">
        <v>1574</v>
      </c>
      <c r="U168" s="295">
        <v>30</v>
      </c>
      <c r="V168" s="295">
        <v>10</v>
      </c>
      <c r="W168" s="295">
        <v>5.5</v>
      </c>
      <c r="X168" s="295">
        <v>5</v>
      </c>
      <c r="Y168" s="295">
        <v>0</v>
      </c>
      <c r="Z168" s="295">
        <v>0</v>
      </c>
      <c r="AA168" s="295">
        <v>0</v>
      </c>
      <c r="AB168" s="295">
        <v>0</v>
      </c>
      <c r="AC168" s="295">
        <v>0</v>
      </c>
      <c r="AD168" s="295">
        <v>0</v>
      </c>
      <c r="AE168" s="295">
        <v>0</v>
      </c>
      <c r="AF168" s="295">
        <v>0</v>
      </c>
      <c r="AG168" s="295">
        <v>0</v>
      </c>
      <c r="AH168" s="295">
        <v>1624.5</v>
      </c>
      <c r="AI168" s="362"/>
    </row>
    <row r="169" spans="1:35" ht="13.5" customHeight="1">
      <c r="A169" s="291">
        <v>0</v>
      </c>
      <c r="B169" s="291">
        <v>0</v>
      </c>
      <c r="C169" s="292" t="s">
        <v>1030</v>
      </c>
      <c r="D169" s="293" t="s">
        <v>677</v>
      </c>
      <c r="E169" s="293" t="str">
        <f t="shared" si="2"/>
        <v>G</v>
      </c>
      <c r="F169" s="293" t="s">
        <v>126</v>
      </c>
      <c r="G169" s="294">
        <v>1076</v>
      </c>
      <c r="H169" s="292" t="s">
        <v>101</v>
      </c>
      <c r="I169" s="292" t="s">
        <v>682</v>
      </c>
      <c r="J169" s="293"/>
      <c r="K169" s="293"/>
      <c r="L169" s="293"/>
      <c r="M169" s="293"/>
      <c r="N169" s="295">
        <v>1594</v>
      </c>
      <c r="O169" s="296"/>
      <c r="P169" s="295">
        <v>0</v>
      </c>
      <c r="Q169" s="295">
        <v>0</v>
      </c>
      <c r="R169" s="295">
        <v>0</v>
      </c>
      <c r="S169" s="295">
        <v>0</v>
      </c>
      <c r="T169" s="295">
        <v>0</v>
      </c>
      <c r="U169" s="295">
        <v>0</v>
      </c>
      <c r="V169" s="295">
        <v>0</v>
      </c>
      <c r="W169" s="295">
        <v>0</v>
      </c>
      <c r="X169" s="295">
        <v>0</v>
      </c>
      <c r="Y169" s="295">
        <v>0</v>
      </c>
      <c r="Z169" s="295">
        <v>0</v>
      </c>
      <c r="AA169" s="295">
        <v>0</v>
      </c>
      <c r="AB169" s="295">
        <v>0</v>
      </c>
      <c r="AC169" s="295">
        <v>0</v>
      </c>
      <c r="AD169" s="295">
        <v>0</v>
      </c>
      <c r="AE169" s="295">
        <v>0</v>
      </c>
      <c r="AF169" s="295">
        <v>0</v>
      </c>
      <c r="AG169" s="295">
        <v>0</v>
      </c>
      <c r="AH169" s="295">
        <v>0</v>
      </c>
      <c r="AI169" s="362"/>
    </row>
    <row r="170" spans="1:35" ht="13.5" customHeight="1">
      <c r="A170" s="291">
        <v>225</v>
      </c>
      <c r="B170" s="291">
        <v>42682</v>
      </c>
      <c r="C170" s="292" t="s">
        <v>1031</v>
      </c>
      <c r="D170" s="293" t="s">
        <v>147</v>
      </c>
      <c r="E170" s="293" t="str">
        <f t="shared" si="2"/>
        <v>Q</v>
      </c>
      <c r="F170" s="293" t="s">
        <v>126</v>
      </c>
      <c r="G170" s="294">
        <v>1076</v>
      </c>
      <c r="H170" s="292" t="s">
        <v>97</v>
      </c>
      <c r="I170" s="292" t="s">
        <v>1032</v>
      </c>
      <c r="J170" s="293" t="s">
        <v>1033</v>
      </c>
      <c r="K170" s="293"/>
      <c r="L170" s="293" t="s">
        <v>1033</v>
      </c>
      <c r="M170" s="293" t="s">
        <v>532</v>
      </c>
      <c r="N170" s="295">
        <v>1644</v>
      </c>
      <c r="O170" s="296" t="s">
        <v>673</v>
      </c>
      <c r="P170" s="295">
        <v>580</v>
      </c>
      <c r="Q170" s="295">
        <v>580</v>
      </c>
      <c r="R170" s="295">
        <v>0</v>
      </c>
      <c r="S170" s="295">
        <v>1674</v>
      </c>
      <c r="T170" s="295">
        <v>1674</v>
      </c>
      <c r="U170" s="295">
        <v>30</v>
      </c>
      <c r="V170" s="295">
        <v>10</v>
      </c>
      <c r="W170" s="295">
        <v>5.5</v>
      </c>
      <c r="X170" s="295">
        <v>5</v>
      </c>
      <c r="Y170" s="295">
        <v>18</v>
      </c>
      <c r="Z170" s="295">
        <v>15</v>
      </c>
      <c r="AA170" s="295">
        <v>0</v>
      </c>
      <c r="AB170" s="295">
        <v>0</v>
      </c>
      <c r="AC170" s="295">
        <v>0</v>
      </c>
      <c r="AD170" s="295">
        <v>0</v>
      </c>
      <c r="AE170" s="295">
        <v>0</v>
      </c>
      <c r="AF170" s="295">
        <v>0</v>
      </c>
      <c r="AG170" s="295">
        <v>0</v>
      </c>
      <c r="AH170" s="295">
        <v>1757.5</v>
      </c>
      <c r="AI170" s="362"/>
    </row>
    <row r="171" spans="1:35" ht="13.5" customHeight="1">
      <c r="A171" s="291">
        <v>31795</v>
      </c>
      <c r="B171" s="291">
        <v>43079</v>
      </c>
      <c r="C171" s="292" t="s">
        <v>1034</v>
      </c>
      <c r="D171" s="293" t="s">
        <v>153</v>
      </c>
      <c r="E171" s="293" t="str">
        <f t="shared" si="2"/>
        <v>F</v>
      </c>
      <c r="F171" s="293" t="s">
        <v>126</v>
      </c>
      <c r="G171" s="294">
        <v>1076</v>
      </c>
      <c r="H171" s="292" t="s">
        <v>97</v>
      </c>
      <c r="I171" s="292" t="s">
        <v>1035</v>
      </c>
      <c r="J171" s="293" t="s">
        <v>1036</v>
      </c>
      <c r="K171" s="293"/>
      <c r="L171" s="293" t="s">
        <v>1547</v>
      </c>
      <c r="M171" s="293" t="s">
        <v>1793</v>
      </c>
      <c r="N171" s="295">
        <v>1524</v>
      </c>
      <c r="O171" s="296" t="s">
        <v>673</v>
      </c>
      <c r="P171" s="295">
        <v>0</v>
      </c>
      <c r="Q171" s="295">
        <v>0</v>
      </c>
      <c r="R171" s="295">
        <v>0</v>
      </c>
      <c r="S171" s="295">
        <v>1564</v>
      </c>
      <c r="T171" s="295">
        <v>1564</v>
      </c>
      <c r="U171" s="295">
        <v>30</v>
      </c>
      <c r="V171" s="295">
        <v>10</v>
      </c>
      <c r="W171" s="295">
        <v>5.5</v>
      </c>
      <c r="X171" s="295">
        <v>5</v>
      </c>
      <c r="Y171" s="295">
        <v>18</v>
      </c>
      <c r="Z171" s="295">
        <v>0</v>
      </c>
      <c r="AA171" s="295">
        <v>0</v>
      </c>
      <c r="AB171" s="295">
        <v>0</v>
      </c>
      <c r="AC171" s="295">
        <v>75</v>
      </c>
      <c r="AD171" s="295">
        <v>0</v>
      </c>
      <c r="AE171" s="295">
        <v>0</v>
      </c>
      <c r="AF171" s="295">
        <v>0</v>
      </c>
      <c r="AG171" s="295">
        <v>0</v>
      </c>
      <c r="AH171" s="295">
        <v>1707.5</v>
      </c>
      <c r="AI171" s="362"/>
    </row>
    <row r="172" spans="1:35" ht="13.5" customHeight="1">
      <c r="A172" s="291">
        <v>743</v>
      </c>
      <c r="B172" s="291">
        <v>42811</v>
      </c>
      <c r="C172" s="292" t="s">
        <v>1037</v>
      </c>
      <c r="D172" s="293" t="s">
        <v>147</v>
      </c>
      <c r="E172" s="293" t="str">
        <f t="shared" si="2"/>
        <v>Q</v>
      </c>
      <c r="F172" s="293" t="s">
        <v>126</v>
      </c>
      <c r="G172" s="294">
        <v>1076</v>
      </c>
      <c r="H172" s="292" t="s">
        <v>97</v>
      </c>
      <c r="I172" s="292" t="s">
        <v>1038</v>
      </c>
      <c r="J172" s="293" t="s">
        <v>1039</v>
      </c>
      <c r="K172" s="293"/>
      <c r="L172" s="293" t="s">
        <v>1853</v>
      </c>
      <c r="M172" s="293" t="s">
        <v>1813</v>
      </c>
      <c r="N172" s="295">
        <v>1644</v>
      </c>
      <c r="O172" s="296" t="s">
        <v>673</v>
      </c>
      <c r="P172" s="295">
        <v>0</v>
      </c>
      <c r="Q172" s="295">
        <v>0</v>
      </c>
      <c r="R172" s="295">
        <v>0</v>
      </c>
      <c r="S172" s="295">
        <v>1887</v>
      </c>
      <c r="T172" s="295">
        <v>1887</v>
      </c>
      <c r="U172" s="295">
        <v>30</v>
      </c>
      <c r="V172" s="295">
        <v>10</v>
      </c>
      <c r="W172" s="295">
        <v>5.5</v>
      </c>
      <c r="X172" s="295">
        <v>5</v>
      </c>
      <c r="Y172" s="295">
        <v>18</v>
      </c>
      <c r="Z172" s="295">
        <v>15</v>
      </c>
      <c r="AA172" s="295">
        <v>0</v>
      </c>
      <c r="AB172" s="295">
        <v>0</v>
      </c>
      <c r="AC172" s="295">
        <v>0</v>
      </c>
      <c r="AD172" s="295">
        <v>0</v>
      </c>
      <c r="AE172" s="295">
        <v>0</v>
      </c>
      <c r="AF172" s="295">
        <v>0</v>
      </c>
      <c r="AG172" s="295">
        <v>0</v>
      </c>
      <c r="AH172" s="295">
        <v>1970.5</v>
      </c>
      <c r="AI172" s="362"/>
    </row>
    <row r="173" spans="1:35" ht="13.5" customHeight="1">
      <c r="A173" s="291">
        <v>10956</v>
      </c>
      <c r="B173" s="291">
        <v>43185</v>
      </c>
      <c r="C173" s="292" t="s">
        <v>1040</v>
      </c>
      <c r="D173" s="293" t="s">
        <v>147</v>
      </c>
      <c r="E173" s="293" t="str">
        <f t="shared" si="2"/>
        <v>Q</v>
      </c>
      <c r="F173" s="293" t="s">
        <v>126</v>
      </c>
      <c r="G173" s="294">
        <v>1076</v>
      </c>
      <c r="H173" s="292" t="s">
        <v>97</v>
      </c>
      <c r="I173" s="292" t="s">
        <v>1041</v>
      </c>
      <c r="J173" s="293" t="s">
        <v>1042</v>
      </c>
      <c r="K173" s="293"/>
      <c r="L173" s="293" t="s">
        <v>2008</v>
      </c>
      <c r="M173" s="293" t="s">
        <v>2081</v>
      </c>
      <c r="N173" s="295">
        <v>1644</v>
      </c>
      <c r="O173" s="296" t="s">
        <v>673</v>
      </c>
      <c r="P173" s="295">
        <v>0</v>
      </c>
      <c r="Q173" s="295">
        <v>0</v>
      </c>
      <c r="R173" s="295">
        <v>62.69</v>
      </c>
      <c r="S173" s="295">
        <v>1715</v>
      </c>
      <c r="T173" s="295">
        <v>1715</v>
      </c>
      <c r="U173" s="295">
        <v>30</v>
      </c>
      <c r="V173" s="295">
        <v>10</v>
      </c>
      <c r="W173" s="295">
        <v>5.5</v>
      </c>
      <c r="X173" s="295">
        <v>5</v>
      </c>
      <c r="Y173" s="295">
        <v>18</v>
      </c>
      <c r="Z173" s="295">
        <v>15</v>
      </c>
      <c r="AA173" s="295">
        <v>0</v>
      </c>
      <c r="AB173" s="295">
        <v>0</v>
      </c>
      <c r="AC173" s="295">
        <v>0</v>
      </c>
      <c r="AD173" s="295">
        <v>0</v>
      </c>
      <c r="AE173" s="295">
        <v>0</v>
      </c>
      <c r="AF173" s="295">
        <v>0</v>
      </c>
      <c r="AG173" s="295">
        <v>0</v>
      </c>
      <c r="AH173" s="295">
        <v>1798.5</v>
      </c>
      <c r="AI173" s="362"/>
    </row>
    <row r="174" spans="1:35" ht="13.5" customHeight="1">
      <c r="A174" s="291">
        <v>31622</v>
      </c>
      <c r="B174" s="291">
        <v>42992</v>
      </c>
      <c r="C174" s="292" t="s">
        <v>1043</v>
      </c>
      <c r="D174" s="293" t="s">
        <v>147</v>
      </c>
      <c r="E174" s="293" t="str">
        <f t="shared" si="2"/>
        <v>Q</v>
      </c>
      <c r="F174" s="293" t="s">
        <v>126</v>
      </c>
      <c r="G174" s="294">
        <v>1076</v>
      </c>
      <c r="H174" s="292" t="s">
        <v>97</v>
      </c>
      <c r="I174" s="292" t="s">
        <v>1044</v>
      </c>
      <c r="J174" s="293" t="s">
        <v>338</v>
      </c>
      <c r="K174" s="293"/>
      <c r="L174" s="293" t="s">
        <v>436</v>
      </c>
      <c r="M174" s="293" t="s">
        <v>1966</v>
      </c>
      <c r="N174" s="295">
        <v>1644</v>
      </c>
      <c r="O174" s="296" t="s">
        <v>673</v>
      </c>
      <c r="P174" s="295">
        <v>0</v>
      </c>
      <c r="Q174" s="295">
        <v>0</v>
      </c>
      <c r="R174" s="295">
        <v>-59.81</v>
      </c>
      <c r="S174" s="295">
        <v>1684</v>
      </c>
      <c r="T174" s="295">
        <v>1684</v>
      </c>
      <c r="U174" s="295">
        <v>30</v>
      </c>
      <c r="V174" s="295">
        <v>10</v>
      </c>
      <c r="W174" s="295">
        <v>5.5</v>
      </c>
      <c r="X174" s="295">
        <v>5</v>
      </c>
      <c r="Y174" s="295">
        <v>18</v>
      </c>
      <c r="Z174" s="295">
        <v>15</v>
      </c>
      <c r="AA174" s="295">
        <v>0</v>
      </c>
      <c r="AB174" s="295">
        <v>0</v>
      </c>
      <c r="AC174" s="295">
        <v>0</v>
      </c>
      <c r="AD174" s="295">
        <v>0</v>
      </c>
      <c r="AE174" s="295">
        <v>0</v>
      </c>
      <c r="AF174" s="295">
        <v>0</v>
      </c>
      <c r="AG174" s="295">
        <v>0</v>
      </c>
      <c r="AH174" s="295">
        <v>1767.5</v>
      </c>
      <c r="AI174" s="362"/>
    </row>
    <row r="175" spans="1:35" ht="13.5" customHeight="1">
      <c r="A175" s="291">
        <v>31471</v>
      </c>
      <c r="B175" s="291">
        <v>42710</v>
      </c>
      <c r="C175" s="292" t="s">
        <v>1046</v>
      </c>
      <c r="D175" s="293" t="s">
        <v>872</v>
      </c>
      <c r="E175" s="293" t="str">
        <f t="shared" si="2"/>
        <v>G</v>
      </c>
      <c r="F175" s="293" t="s">
        <v>126</v>
      </c>
      <c r="G175" s="294">
        <v>1010</v>
      </c>
      <c r="H175" s="292" t="s">
        <v>97</v>
      </c>
      <c r="I175" s="292" t="s">
        <v>1047</v>
      </c>
      <c r="J175" s="293" t="s">
        <v>1048</v>
      </c>
      <c r="K175" s="293"/>
      <c r="L175" s="293" t="s">
        <v>403</v>
      </c>
      <c r="M175" s="293" t="s">
        <v>469</v>
      </c>
      <c r="N175" s="295">
        <v>1514</v>
      </c>
      <c r="O175" s="296" t="s">
        <v>673</v>
      </c>
      <c r="P175" s="295">
        <v>0</v>
      </c>
      <c r="Q175" s="295">
        <v>0</v>
      </c>
      <c r="R175" s="295">
        <v>0</v>
      </c>
      <c r="S175" s="295">
        <v>1519</v>
      </c>
      <c r="T175" s="295">
        <v>1519</v>
      </c>
      <c r="U175" s="295">
        <v>30</v>
      </c>
      <c r="V175" s="295">
        <v>10</v>
      </c>
      <c r="W175" s="295">
        <v>5.5</v>
      </c>
      <c r="X175" s="295">
        <v>5</v>
      </c>
      <c r="Y175" s="295">
        <v>0</v>
      </c>
      <c r="Z175" s="295">
        <v>15</v>
      </c>
      <c r="AA175" s="295">
        <v>0</v>
      </c>
      <c r="AB175" s="295">
        <v>0</v>
      </c>
      <c r="AC175" s="295">
        <v>0</v>
      </c>
      <c r="AD175" s="295">
        <v>0</v>
      </c>
      <c r="AE175" s="295">
        <v>0</v>
      </c>
      <c r="AF175" s="295">
        <v>0</v>
      </c>
      <c r="AG175" s="295">
        <v>0</v>
      </c>
      <c r="AH175" s="295">
        <v>1584.5</v>
      </c>
      <c r="AI175" s="362"/>
    </row>
    <row r="176" spans="1:35" ht="13.5" customHeight="1">
      <c r="A176" s="291">
        <v>31492</v>
      </c>
      <c r="B176" s="291">
        <v>42870</v>
      </c>
      <c r="C176" s="292" t="s">
        <v>1049</v>
      </c>
      <c r="D176" s="293" t="s">
        <v>160</v>
      </c>
      <c r="E176" s="293" t="str">
        <f t="shared" si="2"/>
        <v>Q</v>
      </c>
      <c r="F176" s="293" t="s">
        <v>126</v>
      </c>
      <c r="G176" s="294">
        <v>1010</v>
      </c>
      <c r="H176" s="292" t="s">
        <v>97</v>
      </c>
      <c r="I176" s="292" t="s">
        <v>1050</v>
      </c>
      <c r="J176" s="293" t="s">
        <v>789</v>
      </c>
      <c r="K176" s="293"/>
      <c r="L176" s="293" t="s">
        <v>684</v>
      </c>
      <c r="M176" s="293" t="s">
        <v>1854</v>
      </c>
      <c r="N176" s="295">
        <v>1564</v>
      </c>
      <c r="O176" s="296" t="s">
        <v>673</v>
      </c>
      <c r="P176" s="295">
        <v>0</v>
      </c>
      <c r="Q176" s="295">
        <v>0</v>
      </c>
      <c r="R176" s="295">
        <v>-1729.71</v>
      </c>
      <c r="S176" s="295">
        <v>1604</v>
      </c>
      <c r="T176" s="295">
        <v>1604</v>
      </c>
      <c r="U176" s="295">
        <v>30</v>
      </c>
      <c r="V176" s="295">
        <v>10</v>
      </c>
      <c r="W176" s="295">
        <v>5.5</v>
      </c>
      <c r="X176" s="295">
        <v>5</v>
      </c>
      <c r="Y176" s="295">
        <v>18</v>
      </c>
      <c r="Z176" s="295">
        <v>0</v>
      </c>
      <c r="AA176" s="295">
        <v>0</v>
      </c>
      <c r="AB176" s="295">
        <v>0</v>
      </c>
      <c r="AC176" s="295">
        <v>0</v>
      </c>
      <c r="AD176" s="295">
        <v>0</v>
      </c>
      <c r="AE176" s="295">
        <v>0</v>
      </c>
      <c r="AF176" s="295">
        <v>0</v>
      </c>
      <c r="AG176" s="295">
        <v>0</v>
      </c>
      <c r="AH176" s="295">
        <v>1672.5</v>
      </c>
      <c r="AI176" s="362"/>
    </row>
    <row r="177" spans="1:35" ht="13.5" customHeight="1">
      <c r="A177" s="291">
        <v>32117</v>
      </c>
      <c r="B177" s="291">
        <v>43164</v>
      </c>
      <c r="C177" s="292" t="s">
        <v>1051</v>
      </c>
      <c r="D177" s="293" t="s">
        <v>147</v>
      </c>
      <c r="E177" s="293" t="str">
        <f t="shared" si="2"/>
        <v>Q</v>
      </c>
      <c r="F177" s="293" t="s">
        <v>126</v>
      </c>
      <c r="G177" s="294">
        <v>1076</v>
      </c>
      <c r="H177" s="292" t="s">
        <v>97</v>
      </c>
      <c r="I177" s="292" t="s">
        <v>2126</v>
      </c>
      <c r="J177" s="293" t="s">
        <v>482</v>
      </c>
      <c r="K177" s="293"/>
      <c r="L177" s="293" t="s">
        <v>482</v>
      </c>
      <c r="M177" s="293" t="s">
        <v>1944</v>
      </c>
      <c r="N177" s="295">
        <v>1644</v>
      </c>
      <c r="O177" s="296" t="s">
        <v>673</v>
      </c>
      <c r="P177" s="295">
        <v>0</v>
      </c>
      <c r="Q177" s="295">
        <v>0</v>
      </c>
      <c r="R177" s="295">
        <v>0</v>
      </c>
      <c r="S177" s="295">
        <v>1614</v>
      </c>
      <c r="T177" s="295">
        <v>1614</v>
      </c>
      <c r="U177" s="295">
        <v>30</v>
      </c>
      <c r="V177" s="295">
        <v>10</v>
      </c>
      <c r="W177" s="295">
        <v>5.5</v>
      </c>
      <c r="X177" s="295">
        <v>5</v>
      </c>
      <c r="Y177" s="295">
        <v>18</v>
      </c>
      <c r="Z177" s="295">
        <v>15</v>
      </c>
      <c r="AA177" s="295">
        <v>0</v>
      </c>
      <c r="AB177" s="295">
        <v>0</v>
      </c>
      <c r="AC177" s="295">
        <v>0</v>
      </c>
      <c r="AD177" s="295">
        <v>0</v>
      </c>
      <c r="AE177" s="295">
        <v>0</v>
      </c>
      <c r="AF177" s="295">
        <v>0</v>
      </c>
      <c r="AG177" s="295">
        <v>0</v>
      </c>
      <c r="AH177" s="295">
        <v>1697.5</v>
      </c>
      <c r="AI177" s="362"/>
    </row>
    <row r="178" spans="1:35" ht="13.5" customHeight="1">
      <c r="A178" s="291">
        <v>31996</v>
      </c>
      <c r="B178" s="291">
        <v>42934</v>
      </c>
      <c r="C178" s="292" t="s">
        <v>1052</v>
      </c>
      <c r="D178" s="293" t="s">
        <v>677</v>
      </c>
      <c r="E178" s="293" t="str">
        <f t="shared" si="2"/>
        <v>G</v>
      </c>
      <c r="F178" s="293" t="s">
        <v>126</v>
      </c>
      <c r="G178" s="294">
        <v>1076</v>
      </c>
      <c r="H178" s="292" t="s">
        <v>97</v>
      </c>
      <c r="I178" s="292" t="s">
        <v>1855</v>
      </c>
      <c r="J178" s="293" t="s">
        <v>1664</v>
      </c>
      <c r="K178" s="293"/>
      <c r="L178" s="293" t="s">
        <v>1664</v>
      </c>
      <c r="M178" s="293" t="s">
        <v>1856</v>
      </c>
      <c r="N178" s="295">
        <v>1594</v>
      </c>
      <c r="O178" s="296" t="s">
        <v>673</v>
      </c>
      <c r="P178" s="295">
        <v>0</v>
      </c>
      <c r="Q178" s="295">
        <v>0</v>
      </c>
      <c r="R178" s="295">
        <v>-1641.07</v>
      </c>
      <c r="S178" s="295">
        <v>1514</v>
      </c>
      <c r="T178" s="295">
        <v>1514</v>
      </c>
      <c r="U178" s="295">
        <v>30</v>
      </c>
      <c r="V178" s="295">
        <v>10</v>
      </c>
      <c r="W178" s="295">
        <v>5.5</v>
      </c>
      <c r="X178" s="295">
        <v>5</v>
      </c>
      <c r="Y178" s="295">
        <v>18</v>
      </c>
      <c r="Z178" s="295">
        <v>0</v>
      </c>
      <c r="AA178" s="295">
        <v>0</v>
      </c>
      <c r="AB178" s="295">
        <v>0</v>
      </c>
      <c r="AC178" s="295">
        <v>0</v>
      </c>
      <c r="AD178" s="295">
        <v>0</v>
      </c>
      <c r="AE178" s="295">
        <v>0</v>
      </c>
      <c r="AF178" s="295">
        <v>0</v>
      </c>
      <c r="AG178" s="295">
        <v>0</v>
      </c>
      <c r="AH178" s="295">
        <v>1582.5</v>
      </c>
      <c r="AI178" s="362"/>
    </row>
    <row r="179" spans="1:35" ht="13.5" customHeight="1">
      <c r="A179" s="291">
        <v>32056</v>
      </c>
      <c r="B179" s="291">
        <v>43070</v>
      </c>
      <c r="C179" s="292" t="s">
        <v>1053</v>
      </c>
      <c r="D179" s="293" t="s">
        <v>160</v>
      </c>
      <c r="E179" s="293" t="str">
        <f t="shared" si="2"/>
        <v>Q</v>
      </c>
      <c r="F179" s="293" t="s">
        <v>126</v>
      </c>
      <c r="G179" s="294">
        <v>1010</v>
      </c>
      <c r="H179" s="292" t="s">
        <v>97</v>
      </c>
      <c r="I179" s="292" t="s">
        <v>1979</v>
      </c>
      <c r="J179" s="293" t="s">
        <v>539</v>
      </c>
      <c r="K179" s="293"/>
      <c r="L179" s="293" t="s">
        <v>539</v>
      </c>
      <c r="M179" s="293" t="s">
        <v>1980</v>
      </c>
      <c r="N179" s="295">
        <v>1564</v>
      </c>
      <c r="O179" s="296" t="s">
        <v>673</v>
      </c>
      <c r="P179" s="295">
        <v>0</v>
      </c>
      <c r="Q179" s="295">
        <v>0</v>
      </c>
      <c r="R179" s="295">
        <v>-1527.83</v>
      </c>
      <c r="S179" s="295">
        <v>1414</v>
      </c>
      <c r="T179" s="295">
        <v>1414</v>
      </c>
      <c r="U179" s="295">
        <v>30</v>
      </c>
      <c r="V179" s="295">
        <v>10</v>
      </c>
      <c r="W179" s="295">
        <v>5.5</v>
      </c>
      <c r="X179" s="295">
        <v>5</v>
      </c>
      <c r="Y179" s="295">
        <v>18</v>
      </c>
      <c r="Z179" s="295">
        <v>0</v>
      </c>
      <c r="AA179" s="295">
        <v>0</v>
      </c>
      <c r="AB179" s="295">
        <v>0</v>
      </c>
      <c r="AC179" s="295">
        <v>0</v>
      </c>
      <c r="AD179" s="295">
        <v>0</v>
      </c>
      <c r="AE179" s="295">
        <v>0</v>
      </c>
      <c r="AF179" s="295">
        <v>0</v>
      </c>
      <c r="AG179" s="295">
        <v>0</v>
      </c>
      <c r="AH179" s="295">
        <v>1482.5</v>
      </c>
      <c r="AI179" s="362"/>
    </row>
    <row r="180" spans="1:35" ht="13.5" customHeight="1">
      <c r="A180" s="291">
        <v>32060</v>
      </c>
      <c r="B180" s="291">
        <v>43076</v>
      </c>
      <c r="C180" s="292" t="s">
        <v>1054</v>
      </c>
      <c r="D180" s="293" t="s">
        <v>872</v>
      </c>
      <c r="E180" s="293" t="str">
        <f t="shared" si="2"/>
        <v>G</v>
      </c>
      <c r="F180" s="293" t="s">
        <v>126</v>
      </c>
      <c r="G180" s="294">
        <v>1010</v>
      </c>
      <c r="H180" s="292" t="s">
        <v>97</v>
      </c>
      <c r="I180" s="292" t="s">
        <v>1981</v>
      </c>
      <c r="J180" s="293" t="s">
        <v>1539</v>
      </c>
      <c r="K180" s="293"/>
      <c r="L180" s="293" t="s">
        <v>1539</v>
      </c>
      <c r="M180" s="293" t="s">
        <v>1982</v>
      </c>
      <c r="N180" s="295">
        <v>1514</v>
      </c>
      <c r="O180" s="296" t="s">
        <v>673</v>
      </c>
      <c r="P180" s="295">
        <v>0</v>
      </c>
      <c r="Q180" s="295">
        <v>0</v>
      </c>
      <c r="R180" s="295">
        <v>0</v>
      </c>
      <c r="S180" s="295">
        <v>1444</v>
      </c>
      <c r="T180" s="295">
        <v>1444</v>
      </c>
      <c r="U180" s="295">
        <v>30</v>
      </c>
      <c r="V180" s="295">
        <v>10</v>
      </c>
      <c r="W180" s="295">
        <v>5.5</v>
      </c>
      <c r="X180" s="295">
        <v>5</v>
      </c>
      <c r="Y180" s="295">
        <v>18</v>
      </c>
      <c r="Z180" s="295">
        <v>15</v>
      </c>
      <c r="AA180" s="295">
        <v>0</v>
      </c>
      <c r="AB180" s="295">
        <v>0</v>
      </c>
      <c r="AC180" s="295">
        <v>0</v>
      </c>
      <c r="AD180" s="295">
        <v>0</v>
      </c>
      <c r="AE180" s="295">
        <v>0</v>
      </c>
      <c r="AF180" s="295">
        <v>0</v>
      </c>
      <c r="AG180" s="295">
        <v>0</v>
      </c>
      <c r="AH180" s="295">
        <v>1527.5</v>
      </c>
      <c r="AI180" s="362"/>
    </row>
    <row r="181" spans="1:35" ht="13.5" customHeight="1">
      <c r="A181" s="291">
        <v>31735</v>
      </c>
      <c r="B181" s="291">
        <v>43005</v>
      </c>
      <c r="C181" s="292" t="s">
        <v>1055</v>
      </c>
      <c r="D181" s="293" t="s">
        <v>167</v>
      </c>
      <c r="E181" s="293" t="str">
        <f t="shared" si="2"/>
        <v>Q</v>
      </c>
      <c r="F181" s="293" t="s">
        <v>126</v>
      </c>
      <c r="G181" s="294">
        <v>700</v>
      </c>
      <c r="H181" s="292" t="s">
        <v>97</v>
      </c>
      <c r="I181" s="292" t="s">
        <v>1056</v>
      </c>
      <c r="J181" s="293" t="s">
        <v>355</v>
      </c>
      <c r="K181" s="293"/>
      <c r="L181" s="293" t="s">
        <v>1084</v>
      </c>
      <c r="M181" s="293" t="s">
        <v>1983</v>
      </c>
      <c r="N181" s="295">
        <v>1344</v>
      </c>
      <c r="O181" s="296" t="s">
        <v>673</v>
      </c>
      <c r="P181" s="295">
        <v>0</v>
      </c>
      <c r="Q181" s="295">
        <v>0</v>
      </c>
      <c r="R181" s="295">
        <v>-1446.49</v>
      </c>
      <c r="S181" s="295">
        <v>1339</v>
      </c>
      <c r="T181" s="295">
        <v>1339</v>
      </c>
      <c r="U181" s="295">
        <v>30</v>
      </c>
      <c r="V181" s="295">
        <v>10</v>
      </c>
      <c r="W181" s="295">
        <v>5.5</v>
      </c>
      <c r="X181" s="295">
        <v>5</v>
      </c>
      <c r="Y181" s="295">
        <v>18</v>
      </c>
      <c r="Z181" s="295">
        <v>0</v>
      </c>
      <c r="AA181" s="295">
        <v>0</v>
      </c>
      <c r="AB181" s="295">
        <v>0</v>
      </c>
      <c r="AC181" s="295">
        <v>0</v>
      </c>
      <c r="AD181" s="295">
        <v>0</v>
      </c>
      <c r="AE181" s="295">
        <v>0</v>
      </c>
      <c r="AF181" s="295">
        <v>0</v>
      </c>
      <c r="AG181" s="295">
        <v>0</v>
      </c>
      <c r="AH181" s="295">
        <v>1407.5</v>
      </c>
      <c r="AI181" s="362"/>
    </row>
    <row r="182" spans="1:35" ht="13.5" customHeight="1">
      <c r="A182" s="291">
        <v>220</v>
      </c>
      <c r="B182" s="291">
        <v>42676</v>
      </c>
      <c r="C182" s="292" t="s">
        <v>1057</v>
      </c>
      <c r="D182" s="293" t="s">
        <v>166</v>
      </c>
      <c r="E182" s="293" t="str">
        <f t="shared" si="2"/>
        <v>2</v>
      </c>
      <c r="F182" s="293" t="s">
        <v>126</v>
      </c>
      <c r="G182" s="294">
        <v>700</v>
      </c>
      <c r="H182" s="292" t="s">
        <v>97</v>
      </c>
      <c r="I182" s="292" t="s">
        <v>1058</v>
      </c>
      <c r="J182" s="293" t="s">
        <v>1059</v>
      </c>
      <c r="K182" s="293"/>
      <c r="L182" s="293" t="s">
        <v>1060</v>
      </c>
      <c r="M182" s="293" t="s">
        <v>1061</v>
      </c>
      <c r="N182" s="295">
        <v>1304</v>
      </c>
      <c r="O182" s="296" t="s">
        <v>673</v>
      </c>
      <c r="P182" s="295">
        <v>500</v>
      </c>
      <c r="Q182" s="295">
        <v>500</v>
      </c>
      <c r="R182" s="295">
        <v>0</v>
      </c>
      <c r="S182" s="295">
        <v>1319</v>
      </c>
      <c r="T182" s="295">
        <v>1319</v>
      </c>
      <c r="U182" s="295">
        <v>30</v>
      </c>
      <c r="V182" s="295">
        <v>10</v>
      </c>
      <c r="W182" s="295">
        <v>5.5</v>
      </c>
      <c r="X182" s="295">
        <v>5</v>
      </c>
      <c r="Y182" s="295">
        <v>18</v>
      </c>
      <c r="Z182" s="295">
        <v>0</v>
      </c>
      <c r="AA182" s="295">
        <v>0</v>
      </c>
      <c r="AB182" s="295">
        <v>0</v>
      </c>
      <c r="AC182" s="295">
        <v>0</v>
      </c>
      <c r="AD182" s="295">
        <v>0</v>
      </c>
      <c r="AE182" s="295">
        <v>0</v>
      </c>
      <c r="AF182" s="295">
        <v>0</v>
      </c>
      <c r="AG182" s="295">
        <v>0</v>
      </c>
      <c r="AH182" s="295">
        <v>1387.5</v>
      </c>
      <c r="AI182" s="362"/>
    </row>
    <row r="183" spans="1:35" ht="13.5" customHeight="1">
      <c r="A183" s="291">
        <v>32036</v>
      </c>
      <c r="B183" s="291">
        <v>43026</v>
      </c>
      <c r="C183" s="292" t="s">
        <v>1062</v>
      </c>
      <c r="D183" s="293" t="s">
        <v>167</v>
      </c>
      <c r="E183" s="293" t="str">
        <f t="shared" si="2"/>
        <v>Q</v>
      </c>
      <c r="F183" s="293" t="s">
        <v>126</v>
      </c>
      <c r="G183" s="294">
        <v>700</v>
      </c>
      <c r="H183" s="292" t="s">
        <v>97</v>
      </c>
      <c r="I183" s="292" t="s">
        <v>1984</v>
      </c>
      <c r="J183" s="293" t="s">
        <v>447</v>
      </c>
      <c r="K183" s="293"/>
      <c r="L183" s="293" t="s">
        <v>447</v>
      </c>
      <c r="M183" s="293" t="s">
        <v>1966</v>
      </c>
      <c r="N183" s="295">
        <v>1314</v>
      </c>
      <c r="O183" s="296" t="s">
        <v>673</v>
      </c>
      <c r="P183" s="295">
        <v>0</v>
      </c>
      <c r="Q183" s="295">
        <v>0</v>
      </c>
      <c r="R183" s="295">
        <v>-1351.49</v>
      </c>
      <c r="S183" s="295">
        <v>1244</v>
      </c>
      <c r="T183" s="295">
        <v>1244</v>
      </c>
      <c r="U183" s="295">
        <v>30</v>
      </c>
      <c r="V183" s="295">
        <v>10</v>
      </c>
      <c r="W183" s="295">
        <v>5.5</v>
      </c>
      <c r="X183" s="295">
        <v>5</v>
      </c>
      <c r="Y183" s="295">
        <v>18</v>
      </c>
      <c r="Z183" s="295">
        <v>0</v>
      </c>
      <c r="AA183" s="295">
        <v>0</v>
      </c>
      <c r="AB183" s="295">
        <v>0</v>
      </c>
      <c r="AC183" s="295">
        <v>0</v>
      </c>
      <c r="AD183" s="295">
        <v>0</v>
      </c>
      <c r="AE183" s="295">
        <v>0</v>
      </c>
      <c r="AF183" s="295">
        <v>0</v>
      </c>
      <c r="AG183" s="295">
        <v>0</v>
      </c>
      <c r="AH183" s="295">
        <v>1312.5</v>
      </c>
      <c r="AI183" s="362"/>
    </row>
    <row r="184" spans="1:35" ht="13.5" customHeight="1">
      <c r="A184" s="291">
        <v>32116</v>
      </c>
      <c r="B184" s="291">
        <v>43161</v>
      </c>
      <c r="C184" s="292" t="s">
        <v>1063</v>
      </c>
      <c r="D184" s="293" t="s">
        <v>167</v>
      </c>
      <c r="E184" s="293" t="str">
        <f t="shared" si="2"/>
        <v>Q</v>
      </c>
      <c r="F184" s="293" t="s">
        <v>126</v>
      </c>
      <c r="G184" s="294">
        <v>700</v>
      </c>
      <c r="H184" s="292" t="s">
        <v>97</v>
      </c>
      <c r="I184" s="292" t="s">
        <v>2127</v>
      </c>
      <c r="J184" s="293" t="s">
        <v>482</v>
      </c>
      <c r="K184" s="293"/>
      <c r="L184" s="293" t="s">
        <v>482</v>
      </c>
      <c r="M184" s="293" t="s">
        <v>1944</v>
      </c>
      <c r="N184" s="295">
        <v>1314</v>
      </c>
      <c r="O184" s="296" t="s">
        <v>673</v>
      </c>
      <c r="P184" s="295">
        <v>0</v>
      </c>
      <c r="Q184" s="295">
        <v>0</v>
      </c>
      <c r="R184" s="295">
        <v>0</v>
      </c>
      <c r="S184" s="295">
        <v>1314</v>
      </c>
      <c r="T184" s="295">
        <v>1314</v>
      </c>
      <c r="U184" s="295">
        <v>30</v>
      </c>
      <c r="V184" s="295">
        <v>10</v>
      </c>
      <c r="W184" s="295">
        <v>5.5</v>
      </c>
      <c r="X184" s="295">
        <v>5</v>
      </c>
      <c r="Y184" s="295">
        <v>18</v>
      </c>
      <c r="Z184" s="295">
        <v>15</v>
      </c>
      <c r="AA184" s="295">
        <v>0</v>
      </c>
      <c r="AB184" s="295">
        <v>0</v>
      </c>
      <c r="AC184" s="295">
        <v>0</v>
      </c>
      <c r="AD184" s="295">
        <v>0</v>
      </c>
      <c r="AE184" s="295">
        <v>0</v>
      </c>
      <c r="AF184" s="295">
        <v>0</v>
      </c>
      <c r="AG184" s="295">
        <v>0</v>
      </c>
      <c r="AH184" s="295">
        <v>1397.5</v>
      </c>
      <c r="AI184" s="362"/>
    </row>
    <row r="185" spans="1:35" ht="13.5" customHeight="1">
      <c r="A185" s="291">
        <v>55</v>
      </c>
      <c r="B185" s="291">
        <v>42865</v>
      </c>
      <c r="C185" s="292" t="s">
        <v>1064</v>
      </c>
      <c r="D185" s="293" t="s">
        <v>167</v>
      </c>
      <c r="E185" s="293" t="str">
        <f t="shared" si="2"/>
        <v>Q</v>
      </c>
      <c r="F185" s="293" t="s">
        <v>126</v>
      </c>
      <c r="G185" s="294">
        <v>700</v>
      </c>
      <c r="H185" s="292" t="s">
        <v>97</v>
      </c>
      <c r="I185" s="292" t="s">
        <v>1065</v>
      </c>
      <c r="J185" s="293" t="s">
        <v>404</v>
      </c>
      <c r="K185" s="293"/>
      <c r="L185" s="293" t="s">
        <v>1159</v>
      </c>
      <c r="M185" s="293" t="s">
        <v>1857</v>
      </c>
      <c r="N185" s="295">
        <v>1344</v>
      </c>
      <c r="O185" s="296" t="s">
        <v>673</v>
      </c>
      <c r="P185" s="295">
        <v>0</v>
      </c>
      <c r="Q185" s="295">
        <v>0</v>
      </c>
      <c r="R185" s="295">
        <v>0</v>
      </c>
      <c r="S185" s="295">
        <v>1404</v>
      </c>
      <c r="T185" s="295">
        <v>1404</v>
      </c>
      <c r="U185" s="295">
        <v>30</v>
      </c>
      <c r="V185" s="295">
        <v>10</v>
      </c>
      <c r="W185" s="295">
        <v>5.5</v>
      </c>
      <c r="X185" s="295">
        <v>5</v>
      </c>
      <c r="Y185" s="295">
        <v>0</v>
      </c>
      <c r="Z185" s="295">
        <v>0</v>
      </c>
      <c r="AA185" s="295">
        <v>0</v>
      </c>
      <c r="AB185" s="295">
        <v>0</v>
      </c>
      <c r="AC185" s="295">
        <v>0</v>
      </c>
      <c r="AD185" s="295">
        <v>0</v>
      </c>
      <c r="AE185" s="295">
        <v>0</v>
      </c>
      <c r="AF185" s="295">
        <v>0</v>
      </c>
      <c r="AG185" s="295">
        <v>0</v>
      </c>
      <c r="AH185" s="295">
        <v>1454.5</v>
      </c>
      <c r="AI185" s="362"/>
    </row>
    <row r="186" spans="1:35" ht="13.5" customHeight="1">
      <c r="A186" s="291">
        <v>0</v>
      </c>
      <c r="B186" s="291">
        <v>0</v>
      </c>
      <c r="C186" s="292" t="s">
        <v>1066</v>
      </c>
      <c r="D186" s="293" t="s">
        <v>167</v>
      </c>
      <c r="E186" s="293" t="str">
        <f t="shared" si="2"/>
        <v>Q</v>
      </c>
      <c r="F186" s="293" t="s">
        <v>126</v>
      </c>
      <c r="G186" s="294">
        <v>700</v>
      </c>
      <c r="H186" s="292" t="s">
        <v>101</v>
      </c>
      <c r="I186" s="292" t="s">
        <v>682</v>
      </c>
      <c r="J186" s="293"/>
      <c r="K186" s="293"/>
      <c r="L186" s="293"/>
      <c r="M186" s="293"/>
      <c r="N186" s="295">
        <v>1314</v>
      </c>
      <c r="O186" s="296"/>
      <c r="P186" s="295">
        <v>0</v>
      </c>
      <c r="Q186" s="295">
        <v>0</v>
      </c>
      <c r="R186" s="295">
        <v>0</v>
      </c>
      <c r="S186" s="295">
        <v>0</v>
      </c>
      <c r="T186" s="295">
        <v>0</v>
      </c>
      <c r="U186" s="295">
        <v>0</v>
      </c>
      <c r="V186" s="295">
        <v>0</v>
      </c>
      <c r="W186" s="295">
        <v>0</v>
      </c>
      <c r="X186" s="295">
        <v>0</v>
      </c>
      <c r="Y186" s="295">
        <v>0</v>
      </c>
      <c r="Z186" s="295">
        <v>0</v>
      </c>
      <c r="AA186" s="295">
        <v>0</v>
      </c>
      <c r="AB186" s="295">
        <v>0</v>
      </c>
      <c r="AC186" s="295">
        <v>0</v>
      </c>
      <c r="AD186" s="295">
        <v>0</v>
      </c>
      <c r="AE186" s="295">
        <v>0</v>
      </c>
      <c r="AF186" s="295">
        <v>0</v>
      </c>
      <c r="AG186" s="295">
        <v>0</v>
      </c>
      <c r="AH186" s="295">
        <v>0</v>
      </c>
      <c r="AI186" s="362"/>
    </row>
    <row r="187" spans="1:35" ht="13.5" customHeight="1">
      <c r="A187" s="291">
        <v>31812</v>
      </c>
      <c r="B187" s="291">
        <v>43126</v>
      </c>
      <c r="C187" s="292" t="s">
        <v>1067</v>
      </c>
      <c r="D187" s="293" t="s">
        <v>164</v>
      </c>
      <c r="E187" s="293" t="str">
        <f t="shared" si="2"/>
        <v>F</v>
      </c>
      <c r="F187" s="293" t="s">
        <v>126</v>
      </c>
      <c r="G187" s="294">
        <v>700</v>
      </c>
      <c r="H187" s="292" t="s">
        <v>97</v>
      </c>
      <c r="I187" s="292" t="s">
        <v>1068</v>
      </c>
      <c r="J187" s="293" t="s">
        <v>354</v>
      </c>
      <c r="K187" s="293"/>
      <c r="L187" s="293" t="s">
        <v>2128</v>
      </c>
      <c r="M187" s="293" t="s">
        <v>2081</v>
      </c>
      <c r="N187" s="295">
        <v>1204</v>
      </c>
      <c r="O187" s="296" t="s">
        <v>673</v>
      </c>
      <c r="P187" s="295">
        <v>0</v>
      </c>
      <c r="Q187" s="295">
        <v>0</v>
      </c>
      <c r="R187" s="295">
        <v>0</v>
      </c>
      <c r="S187" s="295">
        <v>1229</v>
      </c>
      <c r="T187" s="295">
        <v>1229</v>
      </c>
      <c r="U187" s="295">
        <v>30</v>
      </c>
      <c r="V187" s="295">
        <v>10</v>
      </c>
      <c r="W187" s="295">
        <v>5.5</v>
      </c>
      <c r="X187" s="295">
        <v>5</v>
      </c>
      <c r="Y187" s="295">
        <v>18</v>
      </c>
      <c r="Z187" s="295">
        <v>0</v>
      </c>
      <c r="AA187" s="295">
        <v>0</v>
      </c>
      <c r="AB187" s="295">
        <v>0</v>
      </c>
      <c r="AC187" s="295">
        <v>0</v>
      </c>
      <c r="AD187" s="295">
        <v>0</v>
      </c>
      <c r="AE187" s="295">
        <v>0</v>
      </c>
      <c r="AF187" s="295">
        <v>0</v>
      </c>
      <c r="AG187" s="295">
        <v>0</v>
      </c>
      <c r="AH187" s="295">
        <v>1297.5</v>
      </c>
      <c r="AI187" s="362"/>
    </row>
    <row r="188" spans="1:35" ht="13.5" customHeight="1">
      <c r="A188" s="291">
        <v>21437</v>
      </c>
      <c r="B188" s="291">
        <v>42666</v>
      </c>
      <c r="C188" s="292" t="s">
        <v>1069</v>
      </c>
      <c r="D188" s="293" t="s">
        <v>167</v>
      </c>
      <c r="E188" s="293" t="str">
        <f t="shared" si="2"/>
        <v>Q</v>
      </c>
      <c r="F188" s="293" t="s">
        <v>126</v>
      </c>
      <c r="G188" s="294">
        <v>700</v>
      </c>
      <c r="H188" s="292" t="s">
        <v>97</v>
      </c>
      <c r="I188" s="292" t="s">
        <v>1070</v>
      </c>
      <c r="J188" s="293" t="s">
        <v>1071</v>
      </c>
      <c r="K188" s="293"/>
      <c r="L188" s="293" t="s">
        <v>903</v>
      </c>
      <c r="M188" s="293" t="s">
        <v>485</v>
      </c>
      <c r="N188" s="295">
        <v>1344</v>
      </c>
      <c r="O188" s="296" t="s">
        <v>673</v>
      </c>
      <c r="P188" s="295">
        <v>0</v>
      </c>
      <c r="Q188" s="295">
        <v>0</v>
      </c>
      <c r="R188" s="295">
        <v>0</v>
      </c>
      <c r="S188" s="295">
        <v>1404</v>
      </c>
      <c r="T188" s="295">
        <v>1404</v>
      </c>
      <c r="U188" s="295">
        <v>30</v>
      </c>
      <c r="V188" s="295">
        <v>10</v>
      </c>
      <c r="W188" s="295">
        <v>5.5</v>
      </c>
      <c r="X188" s="295">
        <v>5</v>
      </c>
      <c r="Y188" s="295">
        <v>18</v>
      </c>
      <c r="Z188" s="295">
        <v>0</v>
      </c>
      <c r="AA188" s="295">
        <v>0</v>
      </c>
      <c r="AB188" s="295">
        <v>0</v>
      </c>
      <c r="AC188" s="295">
        <v>0</v>
      </c>
      <c r="AD188" s="295">
        <v>0</v>
      </c>
      <c r="AE188" s="295">
        <v>0</v>
      </c>
      <c r="AF188" s="295">
        <v>0</v>
      </c>
      <c r="AG188" s="295">
        <v>0</v>
      </c>
      <c r="AH188" s="295">
        <v>1472.5</v>
      </c>
      <c r="AI188" s="362"/>
    </row>
    <row r="189" spans="1:35" ht="13.5" customHeight="1">
      <c r="A189" s="291">
        <v>31696</v>
      </c>
      <c r="B189" s="291">
        <v>42954</v>
      </c>
      <c r="C189" s="292" t="s">
        <v>1072</v>
      </c>
      <c r="D189" s="293" t="s">
        <v>160</v>
      </c>
      <c r="E189" s="293" t="str">
        <f t="shared" si="2"/>
        <v>Q</v>
      </c>
      <c r="F189" s="293" t="s">
        <v>126</v>
      </c>
      <c r="G189" s="294">
        <v>1010</v>
      </c>
      <c r="H189" s="292" t="s">
        <v>97</v>
      </c>
      <c r="I189" s="292" t="s">
        <v>1073</v>
      </c>
      <c r="J189" s="293" t="s">
        <v>456</v>
      </c>
      <c r="K189" s="293"/>
      <c r="L189" s="293" t="s">
        <v>1985</v>
      </c>
      <c r="M189" s="293" t="s">
        <v>1977</v>
      </c>
      <c r="N189" s="295">
        <v>1564</v>
      </c>
      <c r="O189" s="296" t="s">
        <v>673</v>
      </c>
      <c r="P189" s="295">
        <v>0</v>
      </c>
      <c r="Q189" s="295">
        <v>0</v>
      </c>
      <c r="R189" s="295">
        <v>-1602.83</v>
      </c>
      <c r="S189" s="295">
        <v>1489</v>
      </c>
      <c r="T189" s="295">
        <v>1489</v>
      </c>
      <c r="U189" s="295">
        <v>30</v>
      </c>
      <c r="V189" s="295">
        <v>10</v>
      </c>
      <c r="W189" s="295">
        <v>5.5</v>
      </c>
      <c r="X189" s="295">
        <v>5</v>
      </c>
      <c r="Y189" s="295">
        <v>18</v>
      </c>
      <c r="Z189" s="295">
        <v>0</v>
      </c>
      <c r="AA189" s="295">
        <v>0</v>
      </c>
      <c r="AB189" s="295">
        <v>0</v>
      </c>
      <c r="AC189" s="295">
        <v>0</v>
      </c>
      <c r="AD189" s="295">
        <v>0</v>
      </c>
      <c r="AE189" s="295">
        <v>0</v>
      </c>
      <c r="AF189" s="295">
        <v>0</v>
      </c>
      <c r="AG189" s="295">
        <v>0</v>
      </c>
      <c r="AH189" s="295">
        <v>1557.5</v>
      </c>
      <c r="AI189" s="362"/>
    </row>
    <row r="190" spans="1:35" ht="13.5" customHeight="1">
      <c r="A190" s="291">
        <v>31901</v>
      </c>
      <c r="B190" s="291">
        <v>43018</v>
      </c>
      <c r="C190" s="292" t="s">
        <v>1074</v>
      </c>
      <c r="D190" s="293" t="s">
        <v>160</v>
      </c>
      <c r="E190" s="293" t="str">
        <f t="shared" si="2"/>
        <v>Q</v>
      </c>
      <c r="F190" s="293" t="s">
        <v>126</v>
      </c>
      <c r="G190" s="294">
        <v>1010</v>
      </c>
      <c r="H190" s="292" t="s">
        <v>97</v>
      </c>
      <c r="I190" s="292" t="s">
        <v>1075</v>
      </c>
      <c r="J190" s="293" t="s">
        <v>533</v>
      </c>
      <c r="K190" s="293"/>
      <c r="L190" s="293" t="s">
        <v>1938</v>
      </c>
      <c r="M190" s="293" t="s">
        <v>867</v>
      </c>
      <c r="N190" s="295">
        <v>1564</v>
      </c>
      <c r="O190" s="296" t="s">
        <v>673</v>
      </c>
      <c r="P190" s="295">
        <v>0</v>
      </c>
      <c r="Q190" s="295">
        <v>0</v>
      </c>
      <c r="R190" s="295">
        <v>0</v>
      </c>
      <c r="S190" s="295">
        <v>1669</v>
      </c>
      <c r="T190" s="295">
        <v>1669</v>
      </c>
      <c r="U190" s="295">
        <v>30</v>
      </c>
      <c r="V190" s="295">
        <v>10</v>
      </c>
      <c r="W190" s="295">
        <v>5.5</v>
      </c>
      <c r="X190" s="295">
        <v>5</v>
      </c>
      <c r="Y190" s="295">
        <v>18</v>
      </c>
      <c r="Z190" s="295">
        <v>15</v>
      </c>
      <c r="AA190" s="295">
        <v>0</v>
      </c>
      <c r="AB190" s="295">
        <v>0</v>
      </c>
      <c r="AC190" s="295">
        <v>75</v>
      </c>
      <c r="AD190" s="295">
        <v>0</v>
      </c>
      <c r="AE190" s="295">
        <v>0</v>
      </c>
      <c r="AF190" s="295">
        <v>0</v>
      </c>
      <c r="AG190" s="295">
        <v>0</v>
      </c>
      <c r="AH190" s="295">
        <v>1827.5</v>
      </c>
      <c r="AI190" s="362"/>
    </row>
    <row r="191" spans="1:35" ht="13.5" customHeight="1">
      <c r="A191" s="291">
        <v>32050</v>
      </c>
      <c r="B191" s="291">
        <v>43059</v>
      </c>
      <c r="C191" s="292" t="s">
        <v>1076</v>
      </c>
      <c r="D191" s="293" t="s">
        <v>872</v>
      </c>
      <c r="E191" s="293" t="str">
        <f t="shared" si="2"/>
        <v>G</v>
      </c>
      <c r="F191" s="293" t="s">
        <v>126</v>
      </c>
      <c r="G191" s="294">
        <v>1010</v>
      </c>
      <c r="H191" s="292" t="s">
        <v>97</v>
      </c>
      <c r="I191" s="292" t="s">
        <v>1986</v>
      </c>
      <c r="J191" s="293" t="s">
        <v>539</v>
      </c>
      <c r="K191" s="293"/>
      <c r="L191" s="293" t="s">
        <v>539</v>
      </c>
      <c r="M191" s="293" t="s">
        <v>1980</v>
      </c>
      <c r="N191" s="295">
        <v>1514</v>
      </c>
      <c r="O191" s="296" t="s">
        <v>673</v>
      </c>
      <c r="P191" s="295">
        <v>0</v>
      </c>
      <c r="Q191" s="295">
        <v>0</v>
      </c>
      <c r="R191" s="295">
        <v>0</v>
      </c>
      <c r="S191" s="295">
        <v>1444</v>
      </c>
      <c r="T191" s="295">
        <v>1444</v>
      </c>
      <c r="U191" s="295">
        <v>30</v>
      </c>
      <c r="V191" s="295">
        <v>10</v>
      </c>
      <c r="W191" s="295">
        <v>5.5</v>
      </c>
      <c r="X191" s="295">
        <v>5</v>
      </c>
      <c r="Y191" s="295">
        <v>18</v>
      </c>
      <c r="Z191" s="295">
        <v>15</v>
      </c>
      <c r="AA191" s="295">
        <v>0</v>
      </c>
      <c r="AB191" s="295">
        <v>0</v>
      </c>
      <c r="AC191" s="295">
        <v>0</v>
      </c>
      <c r="AD191" s="295">
        <v>0</v>
      </c>
      <c r="AE191" s="295">
        <v>0</v>
      </c>
      <c r="AF191" s="295">
        <v>0</v>
      </c>
      <c r="AG191" s="295">
        <v>0</v>
      </c>
      <c r="AH191" s="295">
        <v>1527.5</v>
      </c>
      <c r="AI191" s="362"/>
    </row>
    <row r="192" spans="1:35" ht="13.5" customHeight="1">
      <c r="A192" s="291">
        <v>31500</v>
      </c>
      <c r="B192" s="291">
        <v>42813</v>
      </c>
      <c r="C192" s="292" t="s">
        <v>1077</v>
      </c>
      <c r="D192" s="293" t="s">
        <v>163</v>
      </c>
      <c r="E192" s="293" t="str">
        <f t="shared" si="2"/>
        <v>F</v>
      </c>
      <c r="F192" s="293" t="s">
        <v>126</v>
      </c>
      <c r="G192" s="294">
        <v>1010</v>
      </c>
      <c r="H192" s="292" t="s">
        <v>97</v>
      </c>
      <c r="I192" s="292" t="s">
        <v>1078</v>
      </c>
      <c r="J192" s="293" t="s">
        <v>975</v>
      </c>
      <c r="K192" s="293"/>
      <c r="L192" s="293" t="s">
        <v>1113</v>
      </c>
      <c r="M192" s="293" t="s">
        <v>1810</v>
      </c>
      <c r="N192" s="295">
        <v>1444</v>
      </c>
      <c r="O192" s="296" t="s">
        <v>673</v>
      </c>
      <c r="P192" s="295">
        <v>0</v>
      </c>
      <c r="Q192" s="295">
        <v>0</v>
      </c>
      <c r="R192" s="295">
        <v>0</v>
      </c>
      <c r="S192" s="295">
        <v>1484</v>
      </c>
      <c r="T192" s="295">
        <v>1484</v>
      </c>
      <c r="U192" s="295">
        <v>30</v>
      </c>
      <c r="V192" s="295">
        <v>10</v>
      </c>
      <c r="W192" s="295">
        <v>5.5</v>
      </c>
      <c r="X192" s="295">
        <v>5</v>
      </c>
      <c r="Y192" s="295">
        <v>18</v>
      </c>
      <c r="Z192" s="295">
        <v>15</v>
      </c>
      <c r="AA192" s="295">
        <v>0</v>
      </c>
      <c r="AB192" s="295">
        <v>0</v>
      </c>
      <c r="AC192" s="295">
        <v>0</v>
      </c>
      <c r="AD192" s="295">
        <v>0</v>
      </c>
      <c r="AE192" s="295">
        <v>0</v>
      </c>
      <c r="AF192" s="295">
        <v>0</v>
      </c>
      <c r="AG192" s="295">
        <v>0</v>
      </c>
      <c r="AH192" s="295">
        <v>1567.5</v>
      </c>
      <c r="AI192" s="362"/>
    </row>
    <row r="193" spans="1:35" ht="13.5" customHeight="1">
      <c r="A193" s="291">
        <v>11378</v>
      </c>
      <c r="B193" s="291">
        <v>43154</v>
      </c>
      <c r="C193" s="292" t="s">
        <v>1079</v>
      </c>
      <c r="D193" s="293" t="s">
        <v>160</v>
      </c>
      <c r="E193" s="293" t="str">
        <f t="shared" si="2"/>
        <v>Q</v>
      </c>
      <c r="F193" s="293" t="s">
        <v>126</v>
      </c>
      <c r="G193" s="294">
        <v>1010</v>
      </c>
      <c r="H193" s="292" t="s">
        <v>97</v>
      </c>
      <c r="I193" s="292" t="s">
        <v>1080</v>
      </c>
      <c r="J193" s="293" t="s">
        <v>1081</v>
      </c>
      <c r="K193" s="293"/>
      <c r="L193" s="293" t="s">
        <v>895</v>
      </c>
      <c r="M193" s="293" t="s">
        <v>2098</v>
      </c>
      <c r="N193" s="295">
        <v>1564</v>
      </c>
      <c r="O193" s="296" t="s">
        <v>673</v>
      </c>
      <c r="P193" s="295">
        <v>0</v>
      </c>
      <c r="Q193" s="295">
        <v>0</v>
      </c>
      <c r="R193" s="295">
        <v>0</v>
      </c>
      <c r="S193" s="295">
        <v>1563</v>
      </c>
      <c r="T193" s="295">
        <v>1563</v>
      </c>
      <c r="U193" s="295">
        <v>30</v>
      </c>
      <c r="V193" s="295">
        <v>10</v>
      </c>
      <c r="W193" s="295">
        <v>5.5</v>
      </c>
      <c r="X193" s="295">
        <v>5</v>
      </c>
      <c r="Y193" s="295">
        <v>18</v>
      </c>
      <c r="Z193" s="295">
        <v>0</v>
      </c>
      <c r="AA193" s="295">
        <v>0</v>
      </c>
      <c r="AB193" s="295">
        <v>0</v>
      </c>
      <c r="AC193" s="295">
        <v>0</v>
      </c>
      <c r="AD193" s="295">
        <v>0</v>
      </c>
      <c r="AE193" s="295">
        <v>0</v>
      </c>
      <c r="AF193" s="295">
        <v>0</v>
      </c>
      <c r="AG193" s="295">
        <v>0</v>
      </c>
      <c r="AH193" s="295">
        <v>1631.5</v>
      </c>
      <c r="AI193" s="362"/>
    </row>
    <row r="194" spans="1:35" ht="13.5" customHeight="1">
      <c r="A194" s="291">
        <v>32144</v>
      </c>
      <c r="B194" s="291">
        <v>43222</v>
      </c>
      <c r="C194" s="292" t="s">
        <v>1082</v>
      </c>
      <c r="D194" s="293" t="s">
        <v>872</v>
      </c>
      <c r="E194" s="293" t="str">
        <f t="shared" si="2"/>
        <v>G</v>
      </c>
      <c r="F194" s="293" t="s">
        <v>126</v>
      </c>
      <c r="G194" s="294">
        <v>1010</v>
      </c>
      <c r="H194" s="292" t="s">
        <v>97</v>
      </c>
      <c r="I194" s="292" t="s">
        <v>2129</v>
      </c>
      <c r="J194" s="293" t="s">
        <v>2130</v>
      </c>
      <c r="K194" s="293"/>
      <c r="L194" s="293" t="s">
        <v>2130</v>
      </c>
      <c r="M194" s="293" t="s">
        <v>2131</v>
      </c>
      <c r="N194" s="295">
        <v>1514</v>
      </c>
      <c r="O194" s="296" t="s">
        <v>673</v>
      </c>
      <c r="P194" s="295">
        <v>0</v>
      </c>
      <c r="Q194" s="295">
        <v>0</v>
      </c>
      <c r="R194" s="295">
        <v>-181</v>
      </c>
      <c r="S194" s="295">
        <v>1514</v>
      </c>
      <c r="T194" s="295">
        <v>1514</v>
      </c>
      <c r="U194" s="295">
        <v>30</v>
      </c>
      <c r="V194" s="295">
        <v>10</v>
      </c>
      <c r="W194" s="295">
        <v>5.5</v>
      </c>
      <c r="X194" s="295">
        <v>5</v>
      </c>
      <c r="Y194" s="295">
        <v>18</v>
      </c>
      <c r="Z194" s="295">
        <v>0</v>
      </c>
      <c r="AA194" s="295">
        <v>70</v>
      </c>
      <c r="AB194" s="295">
        <v>0</v>
      </c>
      <c r="AC194" s="295">
        <v>0</v>
      </c>
      <c r="AD194" s="295">
        <v>0</v>
      </c>
      <c r="AE194" s="295">
        <v>-2000</v>
      </c>
      <c r="AF194" s="295">
        <v>0</v>
      </c>
      <c r="AG194" s="295">
        <v>0</v>
      </c>
      <c r="AH194" s="295">
        <v>-347.5</v>
      </c>
      <c r="AI194" s="362"/>
    </row>
    <row r="195" spans="1:35" ht="13.5" customHeight="1">
      <c r="A195" s="291">
        <v>31707</v>
      </c>
      <c r="B195" s="291">
        <v>43015</v>
      </c>
      <c r="C195" s="292" t="s">
        <v>1085</v>
      </c>
      <c r="D195" s="293" t="s">
        <v>160</v>
      </c>
      <c r="E195" s="293" t="str">
        <f t="shared" si="2"/>
        <v>Q</v>
      </c>
      <c r="F195" s="293" t="s">
        <v>126</v>
      </c>
      <c r="G195" s="294">
        <v>1010</v>
      </c>
      <c r="H195" s="292" t="s">
        <v>97</v>
      </c>
      <c r="I195" s="292" t="s">
        <v>1086</v>
      </c>
      <c r="J195" s="293" t="s">
        <v>440</v>
      </c>
      <c r="K195" s="293"/>
      <c r="L195" s="293" t="s">
        <v>1226</v>
      </c>
      <c r="M195" s="293" t="s">
        <v>1937</v>
      </c>
      <c r="N195" s="295">
        <v>1564</v>
      </c>
      <c r="O195" s="296" t="s">
        <v>673</v>
      </c>
      <c r="P195" s="295">
        <v>0</v>
      </c>
      <c r="Q195" s="295">
        <v>0</v>
      </c>
      <c r="R195" s="295">
        <v>-1584.71</v>
      </c>
      <c r="S195" s="295">
        <v>1424</v>
      </c>
      <c r="T195" s="295">
        <v>1424</v>
      </c>
      <c r="U195" s="295">
        <v>30</v>
      </c>
      <c r="V195" s="295">
        <v>10</v>
      </c>
      <c r="W195" s="295">
        <v>5.5</v>
      </c>
      <c r="X195" s="295">
        <v>5</v>
      </c>
      <c r="Y195" s="295">
        <v>18</v>
      </c>
      <c r="Z195" s="295">
        <v>0</v>
      </c>
      <c r="AA195" s="295">
        <v>0</v>
      </c>
      <c r="AB195" s="295">
        <v>35</v>
      </c>
      <c r="AC195" s="295">
        <v>0</v>
      </c>
      <c r="AD195" s="295">
        <v>0</v>
      </c>
      <c r="AE195" s="295">
        <v>0</v>
      </c>
      <c r="AF195" s="295">
        <v>0</v>
      </c>
      <c r="AG195" s="295">
        <v>0</v>
      </c>
      <c r="AH195" s="295">
        <v>1527.5</v>
      </c>
      <c r="AI195" s="362"/>
    </row>
    <row r="196" spans="1:35" ht="13.5" customHeight="1">
      <c r="A196" s="291">
        <v>21391</v>
      </c>
      <c r="B196" s="291">
        <v>42974</v>
      </c>
      <c r="C196" s="292" t="s">
        <v>1087</v>
      </c>
      <c r="D196" s="293" t="s">
        <v>872</v>
      </c>
      <c r="E196" s="293" t="str">
        <f t="shared" si="2"/>
        <v>G</v>
      </c>
      <c r="F196" s="293" t="s">
        <v>126</v>
      </c>
      <c r="G196" s="294">
        <v>1010</v>
      </c>
      <c r="H196" s="292" t="s">
        <v>97</v>
      </c>
      <c r="I196" s="292" t="s">
        <v>1362</v>
      </c>
      <c r="J196" s="293" t="s">
        <v>449</v>
      </c>
      <c r="K196" s="293"/>
      <c r="L196" s="293" t="s">
        <v>449</v>
      </c>
      <c r="M196" s="293" t="s">
        <v>1987</v>
      </c>
      <c r="N196" s="295">
        <v>1514</v>
      </c>
      <c r="O196" s="296" t="s">
        <v>673</v>
      </c>
      <c r="P196" s="295">
        <v>0</v>
      </c>
      <c r="Q196" s="295">
        <v>0</v>
      </c>
      <c r="R196" s="295">
        <v>0</v>
      </c>
      <c r="S196" s="295">
        <v>1544</v>
      </c>
      <c r="T196" s="295">
        <v>1544</v>
      </c>
      <c r="U196" s="295">
        <v>30</v>
      </c>
      <c r="V196" s="295">
        <v>10</v>
      </c>
      <c r="W196" s="295">
        <v>5.5</v>
      </c>
      <c r="X196" s="295">
        <v>5</v>
      </c>
      <c r="Y196" s="295">
        <v>18</v>
      </c>
      <c r="Z196" s="295">
        <v>15</v>
      </c>
      <c r="AA196" s="295">
        <v>0</v>
      </c>
      <c r="AB196" s="295">
        <v>0</v>
      </c>
      <c r="AC196" s="295">
        <v>0</v>
      </c>
      <c r="AD196" s="295">
        <v>0</v>
      </c>
      <c r="AE196" s="295">
        <v>0</v>
      </c>
      <c r="AF196" s="295">
        <v>0</v>
      </c>
      <c r="AG196" s="295">
        <v>0</v>
      </c>
      <c r="AH196" s="295">
        <v>1627.5</v>
      </c>
      <c r="AI196" s="362"/>
    </row>
    <row r="197" spans="1:35" ht="13.5" customHeight="1">
      <c r="A197" s="291">
        <v>351</v>
      </c>
      <c r="B197" s="291">
        <v>43207</v>
      </c>
      <c r="C197" s="292" t="s">
        <v>1090</v>
      </c>
      <c r="D197" s="293" t="s">
        <v>169</v>
      </c>
      <c r="E197" s="293" t="str">
        <f t="shared" si="2"/>
        <v>3</v>
      </c>
      <c r="F197" s="293" t="s">
        <v>126</v>
      </c>
      <c r="G197" s="294">
        <v>825</v>
      </c>
      <c r="H197" s="292" t="s">
        <v>97</v>
      </c>
      <c r="I197" s="292" t="s">
        <v>1091</v>
      </c>
      <c r="J197" s="293" t="s">
        <v>280</v>
      </c>
      <c r="K197" s="293"/>
      <c r="L197" s="293" t="s">
        <v>1448</v>
      </c>
      <c r="M197" s="293" t="s">
        <v>1957</v>
      </c>
      <c r="N197" s="295">
        <v>1379</v>
      </c>
      <c r="O197" s="296" t="s">
        <v>673</v>
      </c>
      <c r="P197" s="295">
        <v>500</v>
      </c>
      <c r="Q197" s="295">
        <v>500</v>
      </c>
      <c r="R197" s="295">
        <v>0</v>
      </c>
      <c r="S197" s="295">
        <v>1349</v>
      </c>
      <c r="T197" s="295">
        <v>1349</v>
      </c>
      <c r="U197" s="295">
        <v>30</v>
      </c>
      <c r="V197" s="295">
        <v>10</v>
      </c>
      <c r="W197" s="295">
        <v>5.5</v>
      </c>
      <c r="X197" s="295">
        <v>5</v>
      </c>
      <c r="Y197" s="295">
        <v>18</v>
      </c>
      <c r="Z197" s="295">
        <v>15</v>
      </c>
      <c r="AA197" s="295">
        <v>0</v>
      </c>
      <c r="AB197" s="295">
        <v>0</v>
      </c>
      <c r="AC197" s="295">
        <v>0</v>
      </c>
      <c r="AD197" s="295">
        <v>0</v>
      </c>
      <c r="AE197" s="295">
        <v>0</v>
      </c>
      <c r="AF197" s="295">
        <v>0</v>
      </c>
      <c r="AG197" s="295">
        <v>0</v>
      </c>
      <c r="AH197" s="295">
        <v>1432.5</v>
      </c>
      <c r="AI197" s="362"/>
    </row>
    <row r="198" spans="1:35" ht="13.5" customHeight="1">
      <c r="A198" s="291">
        <v>31972</v>
      </c>
      <c r="B198" s="291">
        <v>42903</v>
      </c>
      <c r="C198" s="292" t="s">
        <v>1092</v>
      </c>
      <c r="D198" s="293" t="s">
        <v>691</v>
      </c>
      <c r="E198" s="293" t="str">
        <f t="shared" si="2"/>
        <v>G</v>
      </c>
      <c r="F198" s="293" t="s">
        <v>126</v>
      </c>
      <c r="G198" s="294">
        <v>825</v>
      </c>
      <c r="H198" s="292" t="s">
        <v>97</v>
      </c>
      <c r="I198" s="292" t="s">
        <v>1858</v>
      </c>
      <c r="J198" s="293" t="s">
        <v>1859</v>
      </c>
      <c r="K198" s="293"/>
      <c r="L198" s="293" t="s">
        <v>1859</v>
      </c>
      <c r="M198" s="293" t="s">
        <v>1860</v>
      </c>
      <c r="N198" s="295">
        <v>1349</v>
      </c>
      <c r="O198" s="296" t="s">
        <v>673</v>
      </c>
      <c r="P198" s="295">
        <v>0</v>
      </c>
      <c r="Q198" s="295">
        <v>0</v>
      </c>
      <c r="R198" s="295">
        <v>-1399.04</v>
      </c>
      <c r="S198" s="295">
        <v>1289</v>
      </c>
      <c r="T198" s="295">
        <v>1289</v>
      </c>
      <c r="U198" s="295">
        <v>30</v>
      </c>
      <c r="V198" s="295">
        <v>10</v>
      </c>
      <c r="W198" s="295">
        <v>5.5</v>
      </c>
      <c r="X198" s="295">
        <v>5</v>
      </c>
      <c r="Y198" s="295">
        <v>18</v>
      </c>
      <c r="Z198" s="295">
        <v>0</v>
      </c>
      <c r="AA198" s="295">
        <v>0</v>
      </c>
      <c r="AB198" s="295">
        <v>0</v>
      </c>
      <c r="AC198" s="295">
        <v>0</v>
      </c>
      <c r="AD198" s="295">
        <v>0</v>
      </c>
      <c r="AE198" s="295">
        <v>0</v>
      </c>
      <c r="AF198" s="295">
        <v>0</v>
      </c>
      <c r="AG198" s="295">
        <v>0</v>
      </c>
      <c r="AH198" s="295">
        <v>1357.5</v>
      </c>
      <c r="AI198" s="362"/>
    </row>
    <row r="199" spans="1:35" ht="13.5" customHeight="1">
      <c r="A199" s="291">
        <v>31518</v>
      </c>
      <c r="B199" s="291">
        <v>42742</v>
      </c>
      <c r="C199" s="292" t="s">
        <v>1093</v>
      </c>
      <c r="D199" s="293" t="s">
        <v>180</v>
      </c>
      <c r="E199" s="293" t="str">
        <f t="shared" si="2"/>
        <v>Q</v>
      </c>
      <c r="F199" s="293" t="s">
        <v>126</v>
      </c>
      <c r="G199" s="294">
        <v>825</v>
      </c>
      <c r="H199" s="292" t="s">
        <v>97</v>
      </c>
      <c r="I199" s="292" t="s">
        <v>1094</v>
      </c>
      <c r="J199" s="293" t="s">
        <v>1025</v>
      </c>
      <c r="K199" s="293"/>
      <c r="L199" s="293" t="s">
        <v>535</v>
      </c>
      <c r="M199" s="293" t="s">
        <v>536</v>
      </c>
      <c r="N199" s="295">
        <v>1389</v>
      </c>
      <c r="O199" s="296" t="s">
        <v>673</v>
      </c>
      <c r="P199" s="295">
        <v>0</v>
      </c>
      <c r="Q199" s="295">
        <v>0</v>
      </c>
      <c r="R199" s="295">
        <v>0</v>
      </c>
      <c r="S199" s="295">
        <v>1449</v>
      </c>
      <c r="T199" s="295">
        <v>1449</v>
      </c>
      <c r="U199" s="295">
        <v>30</v>
      </c>
      <c r="V199" s="295">
        <v>10</v>
      </c>
      <c r="W199" s="295">
        <v>5.5</v>
      </c>
      <c r="X199" s="295">
        <v>5</v>
      </c>
      <c r="Y199" s="295">
        <v>18</v>
      </c>
      <c r="Z199" s="295">
        <v>0</v>
      </c>
      <c r="AA199" s="295">
        <v>0</v>
      </c>
      <c r="AB199" s="295">
        <v>0</v>
      </c>
      <c r="AC199" s="295">
        <v>0</v>
      </c>
      <c r="AD199" s="295">
        <v>0</v>
      </c>
      <c r="AE199" s="295">
        <v>0</v>
      </c>
      <c r="AF199" s="295">
        <v>0</v>
      </c>
      <c r="AG199" s="295">
        <v>0</v>
      </c>
      <c r="AH199" s="295">
        <v>1517.5</v>
      </c>
      <c r="AI199" s="362"/>
    </row>
    <row r="200" spans="1:35" ht="13.5" customHeight="1">
      <c r="A200" s="291">
        <v>32091</v>
      </c>
      <c r="B200" s="291">
        <v>43124</v>
      </c>
      <c r="C200" s="292" t="s">
        <v>1095</v>
      </c>
      <c r="D200" s="293" t="s">
        <v>180</v>
      </c>
      <c r="E200" s="293" t="str">
        <f t="shared" ref="E200:E263" si="3">RIGHT(D200,1)</f>
        <v>Q</v>
      </c>
      <c r="F200" s="293" t="s">
        <v>126</v>
      </c>
      <c r="G200" s="294">
        <v>825</v>
      </c>
      <c r="H200" s="292" t="s">
        <v>97</v>
      </c>
      <c r="I200" s="292" t="s">
        <v>2132</v>
      </c>
      <c r="J200" s="293" t="s">
        <v>473</v>
      </c>
      <c r="K200" s="293"/>
      <c r="L200" s="293" t="s">
        <v>473</v>
      </c>
      <c r="M200" s="293" t="s">
        <v>1988</v>
      </c>
      <c r="N200" s="295">
        <v>1389</v>
      </c>
      <c r="O200" s="296" t="s">
        <v>673</v>
      </c>
      <c r="P200" s="295">
        <v>0</v>
      </c>
      <c r="Q200" s="295">
        <v>0</v>
      </c>
      <c r="R200" s="295">
        <v>18</v>
      </c>
      <c r="S200" s="295">
        <v>1179</v>
      </c>
      <c r="T200" s="295">
        <v>1179</v>
      </c>
      <c r="U200" s="295">
        <v>30</v>
      </c>
      <c r="V200" s="295">
        <v>10</v>
      </c>
      <c r="W200" s="295">
        <v>5.5</v>
      </c>
      <c r="X200" s="295">
        <v>5</v>
      </c>
      <c r="Y200" s="295">
        <v>18</v>
      </c>
      <c r="Z200" s="295">
        <v>30</v>
      </c>
      <c r="AA200" s="295">
        <v>0</v>
      </c>
      <c r="AB200" s="295">
        <v>0</v>
      </c>
      <c r="AC200" s="295">
        <v>0</v>
      </c>
      <c r="AD200" s="295">
        <v>0</v>
      </c>
      <c r="AE200" s="295">
        <v>0</v>
      </c>
      <c r="AF200" s="295">
        <v>0</v>
      </c>
      <c r="AG200" s="295">
        <v>0</v>
      </c>
      <c r="AH200" s="295">
        <v>1277.5</v>
      </c>
      <c r="AI200" s="362"/>
    </row>
    <row r="201" spans="1:35" ht="13.5" customHeight="1">
      <c r="A201" s="291">
        <v>31653</v>
      </c>
      <c r="B201" s="291">
        <v>42888</v>
      </c>
      <c r="C201" s="292" t="s">
        <v>1096</v>
      </c>
      <c r="D201" s="293" t="s">
        <v>171</v>
      </c>
      <c r="E201" s="293" t="str">
        <f t="shared" si="3"/>
        <v>F</v>
      </c>
      <c r="F201" s="293" t="s">
        <v>126</v>
      </c>
      <c r="G201" s="294">
        <v>825</v>
      </c>
      <c r="H201" s="292" t="s">
        <v>97</v>
      </c>
      <c r="I201" s="292" t="s">
        <v>1097</v>
      </c>
      <c r="J201" s="293" t="s">
        <v>351</v>
      </c>
      <c r="K201" s="293"/>
      <c r="L201" s="293" t="s">
        <v>723</v>
      </c>
      <c r="M201" s="293" t="s">
        <v>1941</v>
      </c>
      <c r="N201" s="295">
        <v>1279</v>
      </c>
      <c r="O201" s="296" t="s">
        <v>673</v>
      </c>
      <c r="P201" s="295">
        <v>0</v>
      </c>
      <c r="Q201" s="295">
        <v>0</v>
      </c>
      <c r="R201" s="295">
        <v>0</v>
      </c>
      <c r="S201" s="295">
        <v>1299</v>
      </c>
      <c r="T201" s="295">
        <v>1299</v>
      </c>
      <c r="U201" s="295">
        <v>30</v>
      </c>
      <c r="V201" s="295">
        <v>10</v>
      </c>
      <c r="W201" s="295">
        <v>5.5</v>
      </c>
      <c r="X201" s="295">
        <v>5</v>
      </c>
      <c r="Y201" s="295">
        <v>18</v>
      </c>
      <c r="Z201" s="295">
        <v>0</v>
      </c>
      <c r="AA201" s="295">
        <v>0</v>
      </c>
      <c r="AB201" s="295">
        <v>0</v>
      </c>
      <c r="AC201" s="295">
        <v>0</v>
      </c>
      <c r="AD201" s="295">
        <v>0</v>
      </c>
      <c r="AE201" s="295">
        <v>0</v>
      </c>
      <c r="AF201" s="295">
        <v>0</v>
      </c>
      <c r="AG201" s="295">
        <v>0</v>
      </c>
      <c r="AH201" s="295">
        <v>1367.5</v>
      </c>
      <c r="AI201" s="362"/>
    </row>
    <row r="202" spans="1:35" ht="13.5" customHeight="1">
      <c r="A202" s="291">
        <v>32146</v>
      </c>
      <c r="B202" s="291">
        <v>43226</v>
      </c>
      <c r="C202" s="292" t="s">
        <v>1098</v>
      </c>
      <c r="D202" s="293" t="s">
        <v>171</v>
      </c>
      <c r="E202" s="293" t="str">
        <f t="shared" si="3"/>
        <v>F</v>
      </c>
      <c r="F202" s="293" t="s">
        <v>126</v>
      </c>
      <c r="G202" s="294">
        <v>825</v>
      </c>
      <c r="H202" s="292" t="s">
        <v>97</v>
      </c>
      <c r="I202" s="292" t="s">
        <v>2133</v>
      </c>
      <c r="J202" s="293" t="s">
        <v>491</v>
      </c>
      <c r="K202" s="293"/>
      <c r="L202" s="293" t="s">
        <v>491</v>
      </c>
      <c r="M202" s="293" t="s">
        <v>2117</v>
      </c>
      <c r="N202" s="295">
        <v>1279</v>
      </c>
      <c r="O202" s="296" t="s">
        <v>673</v>
      </c>
      <c r="P202" s="295">
        <v>0</v>
      </c>
      <c r="Q202" s="295">
        <v>0</v>
      </c>
      <c r="R202" s="295">
        <v>-1.84</v>
      </c>
      <c r="S202" s="295">
        <v>1279</v>
      </c>
      <c r="T202" s="295">
        <v>1279</v>
      </c>
      <c r="U202" s="295">
        <v>30</v>
      </c>
      <c r="V202" s="295">
        <v>10</v>
      </c>
      <c r="W202" s="295">
        <v>5.5</v>
      </c>
      <c r="X202" s="295">
        <v>5</v>
      </c>
      <c r="Y202" s="295">
        <v>18</v>
      </c>
      <c r="Z202" s="295">
        <v>0</v>
      </c>
      <c r="AA202" s="295">
        <v>70</v>
      </c>
      <c r="AB202" s="295">
        <v>0</v>
      </c>
      <c r="AC202" s="295">
        <v>0</v>
      </c>
      <c r="AD202" s="295">
        <v>0</v>
      </c>
      <c r="AE202" s="295">
        <v>0</v>
      </c>
      <c r="AF202" s="295">
        <v>0</v>
      </c>
      <c r="AG202" s="295">
        <v>0</v>
      </c>
      <c r="AH202" s="295">
        <v>1417.5</v>
      </c>
      <c r="AI202" s="362"/>
    </row>
    <row r="203" spans="1:35" ht="13.5" customHeight="1">
      <c r="A203" s="291">
        <v>32068</v>
      </c>
      <c r="B203" s="291">
        <v>43096</v>
      </c>
      <c r="C203" s="292" t="s">
        <v>1099</v>
      </c>
      <c r="D203" s="293" t="s">
        <v>171</v>
      </c>
      <c r="E203" s="293" t="str">
        <f t="shared" si="3"/>
        <v>F</v>
      </c>
      <c r="F203" s="293" t="s">
        <v>126</v>
      </c>
      <c r="G203" s="294">
        <v>825</v>
      </c>
      <c r="H203" s="292" t="s">
        <v>97</v>
      </c>
      <c r="I203" s="292" t="s">
        <v>1989</v>
      </c>
      <c r="J203" s="293" t="s">
        <v>1169</v>
      </c>
      <c r="K203" s="293"/>
      <c r="L203" s="293" t="s">
        <v>1169</v>
      </c>
      <c r="M203" s="293" t="s">
        <v>1990</v>
      </c>
      <c r="N203" s="295">
        <v>1279</v>
      </c>
      <c r="O203" s="296" t="s">
        <v>673</v>
      </c>
      <c r="P203" s="295">
        <v>0</v>
      </c>
      <c r="Q203" s="295">
        <v>0</v>
      </c>
      <c r="R203" s="295">
        <v>0</v>
      </c>
      <c r="S203" s="295">
        <v>1209</v>
      </c>
      <c r="T203" s="295">
        <v>1209</v>
      </c>
      <c r="U203" s="295">
        <v>30</v>
      </c>
      <c r="V203" s="295">
        <v>10</v>
      </c>
      <c r="W203" s="295">
        <v>5</v>
      </c>
      <c r="X203" s="295">
        <v>5</v>
      </c>
      <c r="Y203" s="295">
        <v>18</v>
      </c>
      <c r="Z203" s="295">
        <v>15</v>
      </c>
      <c r="AA203" s="295">
        <v>0</v>
      </c>
      <c r="AB203" s="295">
        <v>0</v>
      </c>
      <c r="AC203" s="295">
        <v>0</v>
      </c>
      <c r="AD203" s="295">
        <v>0</v>
      </c>
      <c r="AE203" s="295">
        <v>0</v>
      </c>
      <c r="AF203" s="295">
        <v>0</v>
      </c>
      <c r="AG203" s="295">
        <v>0</v>
      </c>
      <c r="AH203" s="295">
        <v>1292</v>
      </c>
      <c r="AI203" s="362"/>
    </row>
    <row r="204" spans="1:35" ht="13.5" customHeight="1">
      <c r="A204" s="291">
        <v>31642</v>
      </c>
      <c r="B204" s="291">
        <v>42962</v>
      </c>
      <c r="C204" s="292" t="s">
        <v>1100</v>
      </c>
      <c r="D204" s="293" t="s">
        <v>180</v>
      </c>
      <c r="E204" s="293" t="str">
        <f t="shared" si="3"/>
        <v>Q</v>
      </c>
      <c r="F204" s="293" t="s">
        <v>126</v>
      </c>
      <c r="G204" s="294">
        <v>825</v>
      </c>
      <c r="H204" s="292" t="s">
        <v>97</v>
      </c>
      <c r="I204" s="292" t="s">
        <v>1489</v>
      </c>
      <c r="J204" s="293" t="s">
        <v>723</v>
      </c>
      <c r="K204" s="293"/>
      <c r="L204" s="293" t="s">
        <v>723</v>
      </c>
      <c r="M204" s="293" t="s">
        <v>500</v>
      </c>
      <c r="N204" s="295">
        <v>1389</v>
      </c>
      <c r="O204" s="296" t="s">
        <v>673</v>
      </c>
      <c r="P204" s="295">
        <v>0</v>
      </c>
      <c r="Q204" s="295">
        <v>0</v>
      </c>
      <c r="R204" s="295">
        <v>0</v>
      </c>
      <c r="S204" s="295">
        <v>1419</v>
      </c>
      <c r="T204" s="295">
        <v>1419</v>
      </c>
      <c r="U204" s="295">
        <v>30</v>
      </c>
      <c r="V204" s="295">
        <v>10</v>
      </c>
      <c r="W204" s="295">
        <v>5.5</v>
      </c>
      <c r="X204" s="295">
        <v>5</v>
      </c>
      <c r="Y204" s="295">
        <v>18</v>
      </c>
      <c r="Z204" s="295">
        <v>0</v>
      </c>
      <c r="AA204" s="295">
        <v>0</v>
      </c>
      <c r="AB204" s="295">
        <v>35</v>
      </c>
      <c r="AC204" s="295">
        <v>75</v>
      </c>
      <c r="AD204" s="295">
        <v>0</v>
      </c>
      <c r="AE204" s="295">
        <v>0</v>
      </c>
      <c r="AF204" s="295">
        <v>0</v>
      </c>
      <c r="AG204" s="295">
        <v>0</v>
      </c>
      <c r="AH204" s="295">
        <v>1597.5</v>
      </c>
      <c r="AI204" s="362"/>
    </row>
    <row r="205" spans="1:35" ht="13.5" customHeight="1">
      <c r="A205" s="291">
        <v>717</v>
      </c>
      <c r="B205" s="291">
        <v>42655</v>
      </c>
      <c r="C205" s="292" t="s">
        <v>1101</v>
      </c>
      <c r="D205" s="293" t="s">
        <v>139</v>
      </c>
      <c r="E205" s="293" t="str">
        <f t="shared" si="3"/>
        <v>Q</v>
      </c>
      <c r="F205" s="293" t="s">
        <v>126</v>
      </c>
      <c r="G205" s="294">
        <v>600</v>
      </c>
      <c r="H205" s="292" t="s">
        <v>97</v>
      </c>
      <c r="I205" s="292" t="s">
        <v>1102</v>
      </c>
      <c r="J205" s="293" t="s">
        <v>1103</v>
      </c>
      <c r="K205" s="293"/>
      <c r="L205" s="293" t="s">
        <v>497</v>
      </c>
      <c r="M205" s="293" t="s">
        <v>520</v>
      </c>
      <c r="N205" s="295">
        <v>1279</v>
      </c>
      <c r="O205" s="296" t="s">
        <v>673</v>
      </c>
      <c r="P205" s="295">
        <v>0</v>
      </c>
      <c r="Q205" s="295">
        <v>0</v>
      </c>
      <c r="R205" s="295">
        <v>-1479.44</v>
      </c>
      <c r="S205" s="295">
        <v>1374</v>
      </c>
      <c r="T205" s="295">
        <v>1374</v>
      </c>
      <c r="U205" s="295">
        <v>30</v>
      </c>
      <c r="V205" s="295">
        <v>10</v>
      </c>
      <c r="W205" s="295">
        <v>5.5</v>
      </c>
      <c r="X205" s="295">
        <v>5</v>
      </c>
      <c r="Y205" s="295">
        <v>18</v>
      </c>
      <c r="Z205" s="295">
        <v>0</v>
      </c>
      <c r="AA205" s="295">
        <v>0</v>
      </c>
      <c r="AB205" s="295">
        <v>0</v>
      </c>
      <c r="AC205" s="295">
        <v>0</v>
      </c>
      <c r="AD205" s="295">
        <v>0</v>
      </c>
      <c r="AE205" s="295">
        <v>0</v>
      </c>
      <c r="AF205" s="295">
        <v>0</v>
      </c>
      <c r="AG205" s="295">
        <v>0</v>
      </c>
      <c r="AH205" s="295">
        <v>1442.5</v>
      </c>
      <c r="AI205" s="362"/>
    </row>
    <row r="206" spans="1:35" ht="13.5" customHeight="1">
      <c r="A206" s="291">
        <v>31852</v>
      </c>
      <c r="B206" s="291">
        <v>42662</v>
      </c>
      <c r="C206" s="292" t="s">
        <v>1104</v>
      </c>
      <c r="D206" s="293" t="s">
        <v>139</v>
      </c>
      <c r="E206" s="293" t="str">
        <f t="shared" si="3"/>
        <v>Q</v>
      </c>
      <c r="F206" s="293" t="s">
        <v>126</v>
      </c>
      <c r="G206" s="294">
        <v>600</v>
      </c>
      <c r="H206" s="292" t="s">
        <v>97</v>
      </c>
      <c r="I206" s="292" t="s">
        <v>1105</v>
      </c>
      <c r="J206" s="293" t="s">
        <v>1106</v>
      </c>
      <c r="K206" s="293"/>
      <c r="L206" s="293" t="s">
        <v>1106</v>
      </c>
      <c r="M206" s="293" t="s">
        <v>885</v>
      </c>
      <c r="N206" s="295">
        <v>1279</v>
      </c>
      <c r="O206" s="296" t="s">
        <v>673</v>
      </c>
      <c r="P206" s="295">
        <v>0</v>
      </c>
      <c r="Q206" s="295">
        <v>0</v>
      </c>
      <c r="R206" s="295">
        <v>-1449.44</v>
      </c>
      <c r="S206" s="295">
        <v>1309</v>
      </c>
      <c r="T206" s="295">
        <v>1309</v>
      </c>
      <c r="U206" s="295">
        <v>30</v>
      </c>
      <c r="V206" s="295">
        <v>10</v>
      </c>
      <c r="W206" s="295">
        <v>5.5</v>
      </c>
      <c r="X206" s="295">
        <v>5</v>
      </c>
      <c r="Y206" s="295">
        <v>18</v>
      </c>
      <c r="Z206" s="295">
        <v>0</v>
      </c>
      <c r="AA206" s="295">
        <v>0</v>
      </c>
      <c r="AB206" s="295">
        <v>35</v>
      </c>
      <c r="AC206" s="295">
        <v>0</v>
      </c>
      <c r="AD206" s="295">
        <v>0</v>
      </c>
      <c r="AE206" s="295">
        <v>0</v>
      </c>
      <c r="AF206" s="295">
        <v>0</v>
      </c>
      <c r="AG206" s="295">
        <v>0</v>
      </c>
      <c r="AH206" s="295">
        <v>1412.5</v>
      </c>
      <c r="AI206" s="362"/>
    </row>
    <row r="207" spans="1:35" ht="13.5" customHeight="1">
      <c r="A207" s="291">
        <v>31928</v>
      </c>
      <c r="B207" s="291">
        <v>42818</v>
      </c>
      <c r="C207" s="292" t="s">
        <v>1107</v>
      </c>
      <c r="D207" s="293" t="s">
        <v>139</v>
      </c>
      <c r="E207" s="293" t="str">
        <f t="shared" si="3"/>
        <v>Q</v>
      </c>
      <c r="F207" s="293" t="s">
        <v>126</v>
      </c>
      <c r="G207" s="294">
        <v>600</v>
      </c>
      <c r="H207" s="292" t="s">
        <v>97</v>
      </c>
      <c r="I207" s="292" t="s">
        <v>1108</v>
      </c>
      <c r="J207" s="293" t="s">
        <v>1109</v>
      </c>
      <c r="K207" s="293"/>
      <c r="L207" s="293" t="s">
        <v>1109</v>
      </c>
      <c r="M207" s="293" t="s">
        <v>867</v>
      </c>
      <c r="N207" s="295">
        <v>1249</v>
      </c>
      <c r="O207" s="296" t="s">
        <v>673</v>
      </c>
      <c r="P207" s="295">
        <v>0</v>
      </c>
      <c r="Q207" s="295">
        <v>0</v>
      </c>
      <c r="R207" s="295">
        <v>0</v>
      </c>
      <c r="S207" s="295">
        <v>1259</v>
      </c>
      <c r="T207" s="295">
        <v>1259</v>
      </c>
      <c r="U207" s="295">
        <v>30</v>
      </c>
      <c r="V207" s="295">
        <v>10</v>
      </c>
      <c r="W207" s="295">
        <v>5.5</v>
      </c>
      <c r="X207" s="295">
        <v>5</v>
      </c>
      <c r="Y207" s="295">
        <v>0</v>
      </c>
      <c r="Z207" s="295">
        <v>0</v>
      </c>
      <c r="AA207" s="295">
        <v>0</v>
      </c>
      <c r="AB207" s="295">
        <v>0</v>
      </c>
      <c r="AC207" s="295">
        <v>0</v>
      </c>
      <c r="AD207" s="295">
        <v>0</v>
      </c>
      <c r="AE207" s="295">
        <v>0</v>
      </c>
      <c r="AF207" s="295">
        <v>0</v>
      </c>
      <c r="AG207" s="295">
        <v>0</v>
      </c>
      <c r="AH207" s="295">
        <v>1309.5</v>
      </c>
      <c r="AI207" s="362"/>
    </row>
    <row r="208" spans="1:35" ht="13.5" customHeight="1">
      <c r="A208" s="291">
        <v>31535</v>
      </c>
      <c r="B208" s="291">
        <v>42793</v>
      </c>
      <c r="C208" s="292" t="s">
        <v>1110</v>
      </c>
      <c r="D208" s="293" t="s">
        <v>139</v>
      </c>
      <c r="E208" s="293" t="str">
        <f t="shared" si="3"/>
        <v>Q</v>
      </c>
      <c r="F208" s="293" t="s">
        <v>126</v>
      </c>
      <c r="G208" s="294">
        <v>600</v>
      </c>
      <c r="H208" s="292" t="s">
        <v>97</v>
      </c>
      <c r="I208" s="292" t="s">
        <v>1111</v>
      </c>
      <c r="J208" s="293" t="s">
        <v>1112</v>
      </c>
      <c r="K208" s="293"/>
      <c r="L208" s="293" t="s">
        <v>1486</v>
      </c>
      <c r="M208" s="293" t="s">
        <v>1813</v>
      </c>
      <c r="N208" s="295">
        <v>1279</v>
      </c>
      <c r="O208" s="296" t="s">
        <v>673</v>
      </c>
      <c r="P208" s="295">
        <v>0</v>
      </c>
      <c r="Q208" s="295">
        <v>0</v>
      </c>
      <c r="R208" s="295">
        <v>0</v>
      </c>
      <c r="S208" s="295">
        <v>1339</v>
      </c>
      <c r="T208" s="295">
        <v>1339</v>
      </c>
      <c r="U208" s="295">
        <v>30</v>
      </c>
      <c r="V208" s="295">
        <v>10</v>
      </c>
      <c r="W208" s="295">
        <v>5.5</v>
      </c>
      <c r="X208" s="295">
        <v>5</v>
      </c>
      <c r="Y208" s="295">
        <v>18</v>
      </c>
      <c r="Z208" s="295">
        <v>15</v>
      </c>
      <c r="AA208" s="295">
        <v>0</v>
      </c>
      <c r="AB208" s="295">
        <v>0</v>
      </c>
      <c r="AC208" s="295">
        <v>0</v>
      </c>
      <c r="AD208" s="295">
        <v>0</v>
      </c>
      <c r="AE208" s="295">
        <v>0</v>
      </c>
      <c r="AF208" s="295">
        <v>0</v>
      </c>
      <c r="AG208" s="295">
        <v>0</v>
      </c>
      <c r="AH208" s="295">
        <v>1422.5</v>
      </c>
      <c r="AI208" s="362"/>
    </row>
    <row r="209" spans="1:35" ht="13.5" customHeight="1">
      <c r="A209" s="291">
        <v>31913</v>
      </c>
      <c r="B209" s="291">
        <v>42789</v>
      </c>
      <c r="C209" s="292" t="s">
        <v>1114</v>
      </c>
      <c r="D209" s="293" t="s">
        <v>129</v>
      </c>
      <c r="E209" s="293" t="str">
        <f t="shared" si="3"/>
        <v>F</v>
      </c>
      <c r="F209" s="293" t="s">
        <v>126</v>
      </c>
      <c r="G209" s="294">
        <v>600</v>
      </c>
      <c r="H209" s="292" t="s">
        <v>97</v>
      </c>
      <c r="I209" s="292" t="s">
        <v>1115</v>
      </c>
      <c r="J209" s="293" t="s">
        <v>518</v>
      </c>
      <c r="K209" s="293"/>
      <c r="L209" s="293" t="s">
        <v>518</v>
      </c>
      <c r="M209" s="293" t="s">
        <v>521</v>
      </c>
      <c r="N209" s="295">
        <v>1139</v>
      </c>
      <c r="O209" s="296" t="s">
        <v>673</v>
      </c>
      <c r="P209" s="295">
        <v>0</v>
      </c>
      <c r="Q209" s="295">
        <v>0</v>
      </c>
      <c r="R209" s="295">
        <v>-1286.44</v>
      </c>
      <c r="S209" s="295">
        <v>1199</v>
      </c>
      <c r="T209" s="295">
        <v>1199</v>
      </c>
      <c r="U209" s="295">
        <v>30</v>
      </c>
      <c r="V209" s="295">
        <v>10</v>
      </c>
      <c r="W209" s="295">
        <v>5.5</v>
      </c>
      <c r="X209" s="295">
        <v>5</v>
      </c>
      <c r="Y209" s="295">
        <v>0</v>
      </c>
      <c r="Z209" s="295">
        <v>0</v>
      </c>
      <c r="AA209" s="295">
        <v>0</v>
      </c>
      <c r="AB209" s="295">
        <v>0</v>
      </c>
      <c r="AC209" s="295">
        <v>0</v>
      </c>
      <c r="AD209" s="295">
        <v>0</v>
      </c>
      <c r="AE209" s="295">
        <v>0</v>
      </c>
      <c r="AF209" s="295">
        <v>0</v>
      </c>
      <c r="AG209" s="295">
        <v>0</v>
      </c>
      <c r="AH209" s="295">
        <v>1249.5</v>
      </c>
      <c r="AI209" s="362"/>
    </row>
    <row r="210" spans="1:35" ht="13.5" customHeight="1">
      <c r="A210" s="291">
        <v>0</v>
      </c>
      <c r="B210" s="291">
        <v>0</v>
      </c>
      <c r="C210" s="292" t="s">
        <v>1116</v>
      </c>
      <c r="D210" s="293" t="s">
        <v>129</v>
      </c>
      <c r="E210" s="293" t="str">
        <f t="shared" si="3"/>
        <v>F</v>
      </c>
      <c r="F210" s="293" t="s">
        <v>126</v>
      </c>
      <c r="G210" s="294">
        <v>600</v>
      </c>
      <c r="H210" s="292" t="s">
        <v>101</v>
      </c>
      <c r="I210" s="292" t="s">
        <v>682</v>
      </c>
      <c r="J210" s="293"/>
      <c r="K210" s="293"/>
      <c r="L210" s="293"/>
      <c r="M210" s="293"/>
      <c r="N210" s="295">
        <v>1169</v>
      </c>
      <c r="O210" s="296"/>
      <c r="P210" s="295">
        <v>0</v>
      </c>
      <c r="Q210" s="295">
        <v>0</v>
      </c>
      <c r="R210" s="295">
        <v>0</v>
      </c>
      <c r="S210" s="295">
        <v>0</v>
      </c>
      <c r="T210" s="295">
        <v>0</v>
      </c>
      <c r="U210" s="295">
        <v>0</v>
      </c>
      <c r="V210" s="295">
        <v>0</v>
      </c>
      <c r="W210" s="295">
        <v>0</v>
      </c>
      <c r="X210" s="295">
        <v>0</v>
      </c>
      <c r="Y210" s="295">
        <v>0</v>
      </c>
      <c r="Z210" s="295">
        <v>0</v>
      </c>
      <c r="AA210" s="295">
        <v>0</v>
      </c>
      <c r="AB210" s="295">
        <v>0</v>
      </c>
      <c r="AC210" s="295">
        <v>0</v>
      </c>
      <c r="AD210" s="295">
        <v>0</v>
      </c>
      <c r="AE210" s="295">
        <v>0</v>
      </c>
      <c r="AF210" s="295">
        <v>0</v>
      </c>
      <c r="AG210" s="295">
        <v>0</v>
      </c>
      <c r="AH210" s="295">
        <v>0</v>
      </c>
      <c r="AI210" s="362"/>
    </row>
    <row r="211" spans="1:35" ht="13.5" customHeight="1">
      <c r="A211" s="291">
        <v>11045</v>
      </c>
      <c r="B211" s="291">
        <v>42736</v>
      </c>
      <c r="C211" s="292" t="s">
        <v>1117</v>
      </c>
      <c r="D211" s="293" t="s">
        <v>139</v>
      </c>
      <c r="E211" s="293" t="str">
        <f t="shared" si="3"/>
        <v>Q</v>
      </c>
      <c r="F211" s="293" t="s">
        <v>126</v>
      </c>
      <c r="G211" s="294">
        <v>600</v>
      </c>
      <c r="H211" s="292" t="s">
        <v>142</v>
      </c>
      <c r="I211" s="292" t="s">
        <v>1118</v>
      </c>
      <c r="J211" s="293" t="s">
        <v>1119</v>
      </c>
      <c r="K211" s="293" t="s">
        <v>536</v>
      </c>
      <c r="L211" s="293" t="s">
        <v>535</v>
      </c>
      <c r="M211" s="293" t="s">
        <v>536</v>
      </c>
      <c r="N211" s="295">
        <v>1249</v>
      </c>
      <c r="O211" s="296" t="s">
        <v>673</v>
      </c>
      <c r="P211" s="295">
        <v>0</v>
      </c>
      <c r="Q211" s="295">
        <v>0</v>
      </c>
      <c r="R211" s="295">
        <v>0</v>
      </c>
      <c r="S211" s="295">
        <v>1340</v>
      </c>
      <c r="T211" s="295">
        <v>1340</v>
      </c>
      <c r="U211" s="295">
        <v>30</v>
      </c>
      <c r="V211" s="295">
        <v>10</v>
      </c>
      <c r="W211" s="295">
        <v>5.5</v>
      </c>
      <c r="X211" s="295">
        <v>5</v>
      </c>
      <c r="Y211" s="295">
        <v>18</v>
      </c>
      <c r="Z211" s="295">
        <v>15</v>
      </c>
      <c r="AA211" s="295">
        <v>0</v>
      </c>
      <c r="AB211" s="295">
        <v>0</v>
      </c>
      <c r="AC211" s="295">
        <v>0</v>
      </c>
      <c r="AD211" s="295">
        <v>0</v>
      </c>
      <c r="AE211" s="295">
        <v>0</v>
      </c>
      <c r="AF211" s="295">
        <v>0</v>
      </c>
      <c r="AG211" s="295">
        <v>0</v>
      </c>
      <c r="AH211" s="295">
        <v>1423.5</v>
      </c>
      <c r="AI211" s="362"/>
    </row>
    <row r="212" spans="1:35" ht="13.5" customHeight="1">
      <c r="A212" s="291">
        <v>31895</v>
      </c>
      <c r="B212" s="291">
        <v>42971</v>
      </c>
      <c r="C212" s="292" t="s">
        <v>1120</v>
      </c>
      <c r="D212" s="293" t="s">
        <v>139</v>
      </c>
      <c r="E212" s="293" t="str">
        <f t="shared" si="3"/>
        <v>Q</v>
      </c>
      <c r="F212" s="293" t="s">
        <v>126</v>
      </c>
      <c r="G212" s="294">
        <v>600</v>
      </c>
      <c r="H212" s="292" t="s">
        <v>97</v>
      </c>
      <c r="I212" s="292" t="s">
        <v>1121</v>
      </c>
      <c r="J212" s="293" t="s">
        <v>1033</v>
      </c>
      <c r="K212" s="293"/>
      <c r="L212" s="293" t="s">
        <v>441</v>
      </c>
      <c r="M212" s="293" t="s">
        <v>1963</v>
      </c>
      <c r="N212" s="295">
        <v>1279</v>
      </c>
      <c r="O212" s="296" t="s">
        <v>673</v>
      </c>
      <c r="P212" s="295">
        <v>0</v>
      </c>
      <c r="Q212" s="295">
        <v>0</v>
      </c>
      <c r="R212" s="295">
        <v>0</v>
      </c>
      <c r="S212" s="295">
        <v>1309</v>
      </c>
      <c r="T212" s="295">
        <v>1309</v>
      </c>
      <c r="U212" s="295">
        <v>30</v>
      </c>
      <c r="V212" s="295">
        <v>10</v>
      </c>
      <c r="W212" s="295">
        <v>5.5</v>
      </c>
      <c r="X212" s="295">
        <v>5</v>
      </c>
      <c r="Y212" s="295">
        <v>18</v>
      </c>
      <c r="Z212" s="295">
        <v>15</v>
      </c>
      <c r="AA212" s="295">
        <v>0</v>
      </c>
      <c r="AB212" s="295">
        <v>0</v>
      </c>
      <c r="AC212" s="295">
        <v>75</v>
      </c>
      <c r="AD212" s="295">
        <v>0</v>
      </c>
      <c r="AE212" s="295">
        <v>0</v>
      </c>
      <c r="AF212" s="295">
        <v>0</v>
      </c>
      <c r="AG212" s="295">
        <v>0</v>
      </c>
      <c r="AH212" s="295">
        <v>1467.5</v>
      </c>
      <c r="AI212" s="362"/>
    </row>
    <row r="213" spans="1:35" ht="13.5" customHeight="1">
      <c r="A213" s="291">
        <v>31788</v>
      </c>
      <c r="B213" s="291">
        <v>43119</v>
      </c>
      <c r="C213" s="292" t="s">
        <v>1122</v>
      </c>
      <c r="D213" s="293" t="s">
        <v>167</v>
      </c>
      <c r="E213" s="293" t="str">
        <f t="shared" si="3"/>
        <v>Q</v>
      </c>
      <c r="F213" s="293" t="s">
        <v>126</v>
      </c>
      <c r="G213" s="294">
        <v>700</v>
      </c>
      <c r="H213" s="292" t="s">
        <v>97</v>
      </c>
      <c r="I213" s="292" t="s">
        <v>1123</v>
      </c>
      <c r="J213" s="293" t="s">
        <v>365</v>
      </c>
      <c r="K213" s="293"/>
      <c r="L213" s="293" t="s">
        <v>2134</v>
      </c>
      <c r="M213" s="293" t="s">
        <v>2086</v>
      </c>
      <c r="N213" s="295">
        <v>1299</v>
      </c>
      <c r="O213" s="296" t="s">
        <v>673</v>
      </c>
      <c r="P213" s="295">
        <v>0</v>
      </c>
      <c r="Q213" s="295">
        <v>0</v>
      </c>
      <c r="R213" s="295">
        <v>0</v>
      </c>
      <c r="S213" s="295">
        <v>1329</v>
      </c>
      <c r="T213" s="295">
        <v>1329</v>
      </c>
      <c r="U213" s="295">
        <v>30</v>
      </c>
      <c r="V213" s="295">
        <v>10</v>
      </c>
      <c r="W213" s="295">
        <v>5.5</v>
      </c>
      <c r="X213" s="295">
        <v>5</v>
      </c>
      <c r="Y213" s="295">
        <v>18</v>
      </c>
      <c r="Z213" s="295">
        <v>15</v>
      </c>
      <c r="AA213" s="295">
        <v>0</v>
      </c>
      <c r="AB213" s="295">
        <v>0</v>
      </c>
      <c r="AC213" s="295">
        <v>0</v>
      </c>
      <c r="AD213" s="295">
        <v>0</v>
      </c>
      <c r="AE213" s="295">
        <v>0</v>
      </c>
      <c r="AF213" s="295">
        <v>0</v>
      </c>
      <c r="AG213" s="295">
        <v>0</v>
      </c>
      <c r="AH213" s="295">
        <v>1412.5</v>
      </c>
      <c r="AI213" s="362"/>
    </row>
    <row r="214" spans="1:35" ht="13.5" customHeight="1">
      <c r="A214" s="291">
        <v>678</v>
      </c>
      <c r="B214" s="291">
        <v>42762</v>
      </c>
      <c r="C214" s="292" t="s">
        <v>1124</v>
      </c>
      <c r="D214" s="293" t="s">
        <v>167</v>
      </c>
      <c r="E214" s="293" t="str">
        <f t="shared" si="3"/>
        <v>Q</v>
      </c>
      <c r="F214" s="293" t="s">
        <v>126</v>
      </c>
      <c r="G214" s="294">
        <v>700</v>
      </c>
      <c r="H214" s="292" t="s">
        <v>97</v>
      </c>
      <c r="I214" s="292" t="s">
        <v>1125</v>
      </c>
      <c r="J214" s="293" t="s">
        <v>1126</v>
      </c>
      <c r="K214" s="293"/>
      <c r="L214" s="293" t="s">
        <v>1605</v>
      </c>
      <c r="M214" s="293" t="s">
        <v>1861</v>
      </c>
      <c r="N214" s="295">
        <v>1329</v>
      </c>
      <c r="O214" s="296" t="s">
        <v>673</v>
      </c>
      <c r="P214" s="295">
        <v>0</v>
      </c>
      <c r="Q214" s="295">
        <v>0</v>
      </c>
      <c r="R214" s="295">
        <v>0</v>
      </c>
      <c r="S214" s="295">
        <v>1530</v>
      </c>
      <c r="T214" s="295">
        <v>1530</v>
      </c>
      <c r="U214" s="295">
        <v>30</v>
      </c>
      <c r="V214" s="295">
        <v>10</v>
      </c>
      <c r="W214" s="295">
        <v>5.5</v>
      </c>
      <c r="X214" s="295">
        <v>5</v>
      </c>
      <c r="Y214" s="295">
        <v>18</v>
      </c>
      <c r="Z214" s="295">
        <v>0</v>
      </c>
      <c r="AA214" s="295">
        <v>0</v>
      </c>
      <c r="AB214" s="295">
        <v>0</v>
      </c>
      <c r="AC214" s="295">
        <v>0</v>
      </c>
      <c r="AD214" s="295">
        <v>0</v>
      </c>
      <c r="AE214" s="295">
        <v>0</v>
      </c>
      <c r="AF214" s="295">
        <v>0</v>
      </c>
      <c r="AG214" s="295">
        <v>0</v>
      </c>
      <c r="AH214" s="295">
        <v>1598.5</v>
      </c>
      <c r="AI214" s="362"/>
    </row>
    <row r="215" spans="1:35" ht="13.5" customHeight="1">
      <c r="A215" s="291">
        <v>32121</v>
      </c>
      <c r="B215" s="291">
        <v>43178</v>
      </c>
      <c r="C215" s="292" t="s">
        <v>1127</v>
      </c>
      <c r="D215" s="293" t="s">
        <v>167</v>
      </c>
      <c r="E215" s="293" t="str">
        <f t="shared" si="3"/>
        <v>Q</v>
      </c>
      <c r="F215" s="293" t="s">
        <v>126</v>
      </c>
      <c r="G215" s="294">
        <v>700</v>
      </c>
      <c r="H215" s="292" t="s">
        <v>97</v>
      </c>
      <c r="I215" s="292" t="s">
        <v>2135</v>
      </c>
      <c r="J215" s="293" t="s">
        <v>433</v>
      </c>
      <c r="K215" s="293"/>
      <c r="L215" s="293" t="s">
        <v>433</v>
      </c>
      <c r="M215" s="293" t="s">
        <v>2136</v>
      </c>
      <c r="N215" s="295">
        <v>1299</v>
      </c>
      <c r="O215" s="296" t="s">
        <v>673</v>
      </c>
      <c r="P215" s="295">
        <v>0</v>
      </c>
      <c r="Q215" s="295">
        <v>0</v>
      </c>
      <c r="R215" s="295">
        <v>0</v>
      </c>
      <c r="S215" s="295">
        <v>1299</v>
      </c>
      <c r="T215" s="295">
        <v>1299</v>
      </c>
      <c r="U215" s="295">
        <v>30</v>
      </c>
      <c r="V215" s="295">
        <v>10</v>
      </c>
      <c r="W215" s="295">
        <v>5.5</v>
      </c>
      <c r="X215" s="295">
        <v>5</v>
      </c>
      <c r="Y215" s="295">
        <v>18</v>
      </c>
      <c r="Z215" s="295">
        <v>0</v>
      </c>
      <c r="AA215" s="295">
        <v>0</v>
      </c>
      <c r="AB215" s="295">
        <v>0</v>
      </c>
      <c r="AC215" s="295">
        <v>0</v>
      </c>
      <c r="AD215" s="295">
        <v>0</v>
      </c>
      <c r="AE215" s="295">
        <v>-1299</v>
      </c>
      <c r="AF215" s="295">
        <v>0</v>
      </c>
      <c r="AG215" s="295">
        <v>0</v>
      </c>
      <c r="AH215" s="295">
        <v>68.5</v>
      </c>
      <c r="AI215" s="362"/>
    </row>
    <row r="216" spans="1:35" ht="13.5" customHeight="1">
      <c r="A216" s="291">
        <v>0</v>
      </c>
      <c r="B216" s="291">
        <v>0</v>
      </c>
      <c r="C216" s="292" t="s">
        <v>1128</v>
      </c>
      <c r="D216" s="293" t="s">
        <v>164</v>
      </c>
      <c r="E216" s="293" t="str">
        <f t="shared" si="3"/>
        <v>F</v>
      </c>
      <c r="F216" s="293" t="s">
        <v>126</v>
      </c>
      <c r="G216" s="294">
        <v>700</v>
      </c>
      <c r="H216" s="292" t="s">
        <v>101</v>
      </c>
      <c r="I216" s="292" t="s">
        <v>682</v>
      </c>
      <c r="J216" s="293"/>
      <c r="K216" s="293"/>
      <c r="L216" s="293"/>
      <c r="M216" s="293"/>
      <c r="N216" s="295">
        <v>1189</v>
      </c>
      <c r="O216" s="296"/>
      <c r="P216" s="295">
        <v>0</v>
      </c>
      <c r="Q216" s="295">
        <v>0</v>
      </c>
      <c r="R216" s="295">
        <v>0</v>
      </c>
      <c r="S216" s="295">
        <v>0</v>
      </c>
      <c r="T216" s="295">
        <v>0</v>
      </c>
      <c r="U216" s="295">
        <v>0</v>
      </c>
      <c r="V216" s="295">
        <v>0</v>
      </c>
      <c r="W216" s="295">
        <v>0</v>
      </c>
      <c r="X216" s="295">
        <v>0</v>
      </c>
      <c r="Y216" s="295">
        <v>0</v>
      </c>
      <c r="Z216" s="295">
        <v>0</v>
      </c>
      <c r="AA216" s="295">
        <v>0</v>
      </c>
      <c r="AB216" s="295">
        <v>0</v>
      </c>
      <c r="AC216" s="295">
        <v>0</v>
      </c>
      <c r="AD216" s="295">
        <v>0</v>
      </c>
      <c r="AE216" s="295">
        <v>0</v>
      </c>
      <c r="AF216" s="295">
        <v>0</v>
      </c>
      <c r="AG216" s="295">
        <v>0</v>
      </c>
      <c r="AH216" s="295">
        <v>0</v>
      </c>
      <c r="AI216" s="362"/>
    </row>
    <row r="217" spans="1:35" ht="13.5" customHeight="1">
      <c r="A217" s="291">
        <v>32022</v>
      </c>
      <c r="B217" s="291">
        <v>42991</v>
      </c>
      <c r="C217" s="292" t="s">
        <v>1129</v>
      </c>
      <c r="D217" s="293" t="s">
        <v>167</v>
      </c>
      <c r="E217" s="293" t="str">
        <f t="shared" si="3"/>
        <v>Q</v>
      </c>
      <c r="F217" s="293" t="s">
        <v>126</v>
      </c>
      <c r="G217" s="294">
        <v>700</v>
      </c>
      <c r="H217" s="292" t="s">
        <v>97</v>
      </c>
      <c r="I217" s="292" t="s">
        <v>1991</v>
      </c>
      <c r="J217" s="293" t="s">
        <v>406</v>
      </c>
      <c r="K217" s="293"/>
      <c r="L217" s="293" t="s">
        <v>406</v>
      </c>
      <c r="M217" s="293" t="s">
        <v>1969</v>
      </c>
      <c r="N217" s="295">
        <v>1329</v>
      </c>
      <c r="O217" s="296" t="s">
        <v>673</v>
      </c>
      <c r="P217" s="295">
        <v>0</v>
      </c>
      <c r="Q217" s="295">
        <v>0</v>
      </c>
      <c r="R217" s="295">
        <v>0</v>
      </c>
      <c r="S217" s="295">
        <v>1359</v>
      </c>
      <c r="T217" s="295">
        <v>1359</v>
      </c>
      <c r="U217" s="295">
        <v>30</v>
      </c>
      <c r="V217" s="295">
        <v>10</v>
      </c>
      <c r="W217" s="295">
        <v>5.5</v>
      </c>
      <c r="X217" s="295">
        <v>5</v>
      </c>
      <c r="Y217" s="295">
        <v>18</v>
      </c>
      <c r="Z217" s="295">
        <v>15</v>
      </c>
      <c r="AA217" s="295">
        <v>0</v>
      </c>
      <c r="AB217" s="295">
        <v>70</v>
      </c>
      <c r="AC217" s="295">
        <v>0</v>
      </c>
      <c r="AD217" s="295">
        <v>0</v>
      </c>
      <c r="AE217" s="295">
        <v>0</v>
      </c>
      <c r="AF217" s="295">
        <v>0</v>
      </c>
      <c r="AG217" s="295">
        <v>0</v>
      </c>
      <c r="AH217" s="295">
        <v>1512.5</v>
      </c>
      <c r="AI217" s="362"/>
    </row>
    <row r="218" spans="1:35" ht="13.5" customHeight="1">
      <c r="A218" s="291">
        <v>31711</v>
      </c>
      <c r="B218" s="291">
        <v>43034</v>
      </c>
      <c r="C218" s="292" t="s">
        <v>1131</v>
      </c>
      <c r="D218" s="293" t="s">
        <v>167</v>
      </c>
      <c r="E218" s="293" t="str">
        <f t="shared" si="3"/>
        <v>Q</v>
      </c>
      <c r="F218" s="293" t="s">
        <v>126</v>
      </c>
      <c r="G218" s="294">
        <v>700</v>
      </c>
      <c r="H218" s="292" t="s">
        <v>97</v>
      </c>
      <c r="I218" s="292" t="s">
        <v>1132</v>
      </c>
      <c r="J218" s="293" t="s">
        <v>1133</v>
      </c>
      <c r="K218" s="293"/>
      <c r="L218" s="293" t="s">
        <v>1975</v>
      </c>
      <c r="M218" s="293" t="s">
        <v>1973</v>
      </c>
      <c r="N218" s="295">
        <v>1329</v>
      </c>
      <c r="O218" s="296" t="s">
        <v>673</v>
      </c>
      <c r="P218" s="295">
        <v>0</v>
      </c>
      <c r="Q218" s="295">
        <v>0</v>
      </c>
      <c r="R218" s="295">
        <v>0</v>
      </c>
      <c r="S218" s="295">
        <v>1264</v>
      </c>
      <c r="T218" s="295">
        <v>1264</v>
      </c>
      <c r="U218" s="295">
        <v>30</v>
      </c>
      <c r="V218" s="295">
        <v>10</v>
      </c>
      <c r="W218" s="295">
        <v>5.5</v>
      </c>
      <c r="X218" s="295">
        <v>5</v>
      </c>
      <c r="Y218" s="295">
        <v>18</v>
      </c>
      <c r="Z218" s="295">
        <v>0</v>
      </c>
      <c r="AA218" s="295">
        <v>0</v>
      </c>
      <c r="AB218" s="295">
        <v>0</v>
      </c>
      <c r="AC218" s="295">
        <v>0</v>
      </c>
      <c r="AD218" s="295">
        <v>0</v>
      </c>
      <c r="AE218" s="295">
        <v>0</v>
      </c>
      <c r="AF218" s="295">
        <v>0</v>
      </c>
      <c r="AG218" s="295">
        <v>0</v>
      </c>
      <c r="AH218" s="295">
        <v>1332.5</v>
      </c>
      <c r="AI218" s="362"/>
    </row>
    <row r="219" spans="1:35" ht="13.5" customHeight="1">
      <c r="A219" s="291">
        <v>31727</v>
      </c>
      <c r="B219" s="291">
        <v>43007</v>
      </c>
      <c r="C219" s="292" t="s">
        <v>1134</v>
      </c>
      <c r="D219" s="293" t="s">
        <v>167</v>
      </c>
      <c r="E219" s="293" t="str">
        <f t="shared" si="3"/>
        <v>Q</v>
      </c>
      <c r="F219" s="293" t="s">
        <v>126</v>
      </c>
      <c r="G219" s="294">
        <v>700</v>
      </c>
      <c r="H219" s="292" t="s">
        <v>97</v>
      </c>
      <c r="I219" s="292" t="s">
        <v>1135</v>
      </c>
      <c r="J219" s="293" t="s">
        <v>442</v>
      </c>
      <c r="K219" s="293"/>
      <c r="L219" s="293" t="s">
        <v>1992</v>
      </c>
      <c r="M219" s="293" t="s">
        <v>1973</v>
      </c>
      <c r="N219" s="295">
        <v>1329</v>
      </c>
      <c r="O219" s="296" t="s">
        <v>673</v>
      </c>
      <c r="P219" s="295">
        <v>0</v>
      </c>
      <c r="Q219" s="295">
        <v>0</v>
      </c>
      <c r="R219" s="295">
        <v>-1560.26</v>
      </c>
      <c r="S219" s="295">
        <v>1358</v>
      </c>
      <c r="T219" s="295">
        <v>1358</v>
      </c>
      <c r="U219" s="295">
        <v>30</v>
      </c>
      <c r="V219" s="295">
        <v>10</v>
      </c>
      <c r="W219" s="295">
        <v>5.5</v>
      </c>
      <c r="X219" s="295">
        <v>5</v>
      </c>
      <c r="Y219" s="295">
        <v>18</v>
      </c>
      <c r="Z219" s="295">
        <v>15</v>
      </c>
      <c r="AA219" s="295">
        <v>0</v>
      </c>
      <c r="AB219" s="295">
        <v>0</v>
      </c>
      <c r="AC219" s="295">
        <v>0</v>
      </c>
      <c r="AD219" s="295">
        <v>0</v>
      </c>
      <c r="AE219" s="295">
        <v>0</v>
      </c>
      <c r="AF219" s="295">
        <v>0</v>
      </c>
      <c r="AG219" s="295">
        <v>0</v>
      </c>
      <c r="AH219" s="295">
        <v>1441.5</v>
      </c>
      <c r="AI219" s="362"/>
    </row>
    <row r="220" spans="1:35" ht="13.5" customHeight="1">
      <c r="A220" s="291">
        <v>31843</v>
      </c>
      <c r="B220" s="291">
        <v>43183</v>
      </c>
      <c r="C220" s="292" t="s">
        <v>1136</v>
      </c>
      <c r="D220" s="293" t="s">
        <v>167</v>
      </c>
      <c r="E220" s="293" t="str">
        <f t="shared" si="3"/>
        <v>Q</v>
      </c>
      <c r="F220" s="293" t="s">
        <v>126</v>
      </c>
      <c r="G220" s="294">
        <v>700</v>
      </c>
      <c r="H220" s="292" t="s">
        <v>97</v>
      </c>
      <c r="I220" s="292" t="s">
        <v>1137</v>
      </c>
      <c r="J220" s="293" t="s">
        <v>1138</v>
      </c>
      <c r="K220" s="293"/>
      <c r="L220" s="293" t="s">
        <v>2137</v>
      </c>
      <c r="M220" s="293" t="s">
        <v>2098</v>
      </c>
      <c r="N220" s="295">
        <v>1329</v>
      </c>
      <c r="O220" s="296" t="s">
        <v>673</v>
      </c>
      <c r="P220" s="295">
        <v>0</v>
      </c>
      <c r="Q220" s="295">
        <v>0</v>
      </c>
      <c r="R220" s="295">
        <v>0</v>
      </c>
      <c r="S220" s="295">
        <v>1359</v>
      </c>
      <c r="T220" s="295">
        <v>1359</v>
      </c>
      <c r="U220" s="295">
        <v>30</v>
      </c>
      <c r="V220" s="295">
        <v>10</v>
      </c>
      <c r="W220" s="295">
        <v>5.5</v>
      </c>
      <c r="X220" s="295">
        <v>5</v>
      </c>
      <c r="Y220" s="295">
        <v>18</v>
      </c>
      <c r="Z220" s="295">
        <v>0</v>
      </c>
      <c r="AA220" s="295">
        <v>0</v>
      </c>
      <c r="AB220" s="295">
        <v>0</v>
      </c>
      <c r="AC220" s="295">
        <v>0</v>
      </c>
      <c r="AD220" s="295">
        <v>0</v>
      </c>
      <c r="AE220" s="295">
        <v>0</v>
      </c>
      <c r="AF220" s="295">
        <v>0</v>
      </c>
      <c r="AG220" s="295">
        <v>0</v>
      </c>
      <c r="AH220" s="295">
        <v>1427.5</v>
      </c>
      <c r="AI220" s="362"/>
    </row>
    <row r="221" spans="1:35" ht="13.5" customHeight="1">
      <c r="A221" s="291">
        <v>0</v>
      </c>
      <c r="B221" s="291">
        <v>0</v>
      </c>
      <c r="C221" s="292" t="s">
        <v>1140</v>
      </c>
      <c r="D221" s="293" t="s">
        <v>281</v>
      </c>
      <c r="E221" s="293" t="str">
        <f t="shared" si="3"/>
        <v>G</v>
      </c>
      <c r="F221" s="293" t="s">
        <v>126</v>
      </c>
      <c r="G221" s="294">
        <v>700</v>
      </c>
      <c r="H221" s="292" t="s">
        <v>140</v>
      </c>
      <c r="I221" s="292" t="s">
        <v>682</v>
      </c>
      <c r="J221" s="293"/>
      <c r="K221" s="293"/>
      <c r="L221" s="293"/>
      <c r="M221" s="293"/>
      <c r="N221" s="295">
        <v>1289</v>
      </c>
      <c r="O221" s="296"/>
      <c r="P221" s="295">
        <v>0</v>
      </c>
      <c r="Q221" s="295">
        <v>0</v>
      </c>
      <c r="R221" s="295">
        <v>0</v>
      </c>
      <c r="S221" s="295">
        <v>0</v>
      </c>
      <c r="T221" s="295">
        <v>0</v>
      </c>
      <c r="U221" s="295">
        <v>0</v>
      </c>
      <c r="V221" s="295">
        <v>0</v>
      </c>
      <c r="W221" s="295">
        <v>0</v>
      </c>
      <c r="X221" s="295">
        <v>0</v>
      </c>
      <c r="Y221" s="295">
        <v>0</v>
      </c>
      <c r="Z221" s="295">
        <v>0</v>
      </c>
      <c r="AA221" s="295">
        <v>0</v>
      </c>
      <c r="AB221" s="295">
        <v>0</v>
      </c>
      <c r="AC221" s="295">
        <v>0</v>
      </c>
      <c r="AD221" s="295">
        <v>0</v>
      </c>
      <c r="AE221" s="295">
        <v>0</v>
      </c>
      <c r="AF221" s="295">
        <v>0</v>
      </c>
      <c r="AG221" s="295">
        <v>0</v>
      </c>
      <c r="AH221" s="295">
        <v>0</v>
      </c>
      <c r="AI221" s="362"/>
    </row>
    <row r="222" spans="1:35" ht="13.5" customHeight="1">
      <c r="A222" s="291">
        <v>31651</v>
      </c>
      <c r="B222" s="291">
        <v>43243</v>
      </c>
      <c r="C222" s="292" t="s">
        <v>1140</v>
      </c>
      <c r="D222" s="293" t="s">
        <v>281</v>
      </c>
      <c r="E222" s="293" t="str">
        <f t="shared" si="3"/>
        <v>G</v>
      </c>
      <c r="F222" s="293" t="s">
        <v>126</v>
      </c>
      <c r="G222" s="294">
        <v>700</v>
      </c>
      <c r="H222" s="292" t="s">
        <v>2138</v>
      </c>
      <c r="I222" s="292" t="s">
        <v>832</v>
      </c>
      <c r="J222" s="293" t="s">
        <v>513</v>
      </c>
      <c r="K222" s="293"/>
      <c r="L222" s="293" t="s">
        <v>513</v>
      </c>
      <c r="M222" s="293" t="s">
        <v>2139</v>
      </c>
      <c r="N222" s="295">
        <v>0</v>
      </c>
      <c r="O222" s="296" t="s">
        <v>673</v>
      </c>
      <c r="P222" s="295">
        <v>0</v>
      </c>
      <c r="Q222" s="295">
        <v>0</v>
      </c>
      <c r="R222" s="295">
        <v>0</v>
      </c>
      <c r="S222" s="295">
        <v>1289</v>
      </c>
      <c r="T222" s="295">
        <v>1289</v>
      </c>
      <c r="U222" s="295">
        <v>30</v>
      </c>
      <c r="V222" s="295">
        <v>10</v>
      </c>
      <c r="W222" s="295">
        <v>5.5</v>
      </c>
      <c r="X222" s="295">
        <v>5</v>
      </c>
      <c r="Y222" s="295">
        <v>18</v>
      </c>
      <c r="Z222" s="295">
        <v>0</v>
      </c>
      <c r="AA222" s="295">
        <v>70</v>
      </c>
      <c r="AB222" s="295">
        <v>0</v>
      </c>
      <c r="AC222" s="295">
        <v>0</v>
      </c>
      <c r="AD222" s="295">
        <v>0</v>
      </c>
      <c r="AE222" s="295">
        <v>0</v>
      </c>
      <c r="AF222" s="295">
        <v>0</v>
      </c>
      <c r="AG222" s="295">
        <v>0</v>
      </c>
      <c r="AH222" s="295">
        <v>1427.5</v>
      </c>
      <c r="AI222" s="362"/>
    </row>
    <row r="223" spans="1:35" ht="13.5" customHeight="1">
      <c r="A223" s="291">
        <v>31772</v>
      </c>
      <c r="B223" s="291">
        <v>43135</v>
      </c>
      <c r="C223" s="292" t="s">
        <v>1141</v>
      </c>
      <c r="D223" s="293" t="s">
        <v>164</v>
      </c>
      <c r="E223" s="293" t="str">
        <f t="shared" si="3"/>
        <v>F</v>
      </c>
      <c r="F223" s="293" t="s">
        <v>126</v>
      </c>
      <c r="G223" s="294">
        <v>700</v>
      </c>
      <c r="H223" s="292" t="s">
        <v>97</v>
      </c>
      <c r="I223" s="292" t="s">
        <v>1142</v>
      </c>
      <c r="J223" s="293" t="s">
        <v>357</v>
      </c>
      <c r="K223" s="293"/>
      <c r="L223" s="293" t="s">
        <v>791</v>
      </c>
      <c r="M223" s="293" t="s">
        <v>2116</v>
      </c>
      <c r="N223" s="295">
        <v>1219</v>
      </c>
      <c r="O223" s="296" t="s">
        <v>673</v>
      </c>
      <c r="P223" s="295">
        <v>0</v>
      </c>
      <c r="Q223" s="295">
        <v>0</v>
      </c>
      <c r="R223" s="295">
        <v>0</v>
      </c>
      <c r="S223" s="295">
        <v>1199</v>
      </c>
      <c r="T223" s="295">
        <v>1199</v>
      </c>
      <c r="U223" s="295">
        <v>30</v>
      </c>
      <c r="V223" s="295">
        <v>10</v>
      </c>
      <c r="W223" s="295">
        <v>5.5</v>
      </c>
      <c r="X223" s="295">
        <v>5</v>
      </c>
      <c r="Y223" s="295">
        <v>18</v>
      </c>
      <c r="Z223" s="295">
        <v>0</v>
      </c>
      <c r="AA223" s="295">
        <v>0</v>
      </c>
      <c r="AB223" s="295">
        <v>0</v>
      </c>
      <c r="AC223" s="295">
        <v>0</v>
      </c>
      <c r="AD223" s="295">
        <v>0</v>
      </c>
      <c r="AE223" s="295">
        <v>0</v>
      </c>
      <c r="AF223" s="295">
        <v>0</v>
      </c>
      <c r="AG223" s="295">
        <v>0</v>
      </c>
      <c r="AH223" s="295">
        <v>1267.5</v>
      </c>
      <c r="AI223" s="362"/>
    </row>
    <row r="224" spans="1:35" ht="13.5" customHeight="1">
      <c r="A224" s="291">
        <v>40</v>
      </c>
      <c r="B224" s="291">
        <v>42842</v>
      </c>
      <c r="C224" s="292" t="s">
        <v>1143</v>
      </c>
      <c r="D224" s="293" t="s">
        <v>166</v>
      </c>
      <c r="E224" s="293" t="str">
        <f t="shared" si="3"/>
        <v>2</v>
      </c>
      <c r="F224" s="293" t="s">
        <v>126</v>
      </c>
      <c r="G224" s="294">
        <v>700</v>
      </c>
      <c r="H224" s="292" t="s">
        <v>97</v>
      </c>
      <c r="I224" s="292" t="s">
        <v>1144</v>
      </c>
      <c r="J224" s="293" t="s">
        <v>1145</v>
      </c>
      <c r="K224" s="293"/>
      <c r="L224" s="293" t="s">
        <v>1251</v>
      </c>
      <c r="M224" s="293" t="s">
        <v>1804</v>
      </c>
      <c r="N224" s="295">
        <v>1319</v>
      </c>
      <c r="O224" s="296" t="s">
        <v>673</v>
      </c>
      <c r="P224" s="295">
        <v>150</v>
      </c>
      <c r="Q224" s="295">
        <v>150</v>
      </c>
      <c r="R224" s="295">
        <v>-1536.49</v>
      </c>
      <c r="S224" s="295">
        <v>1397</v>
      </c>
      <c r="T224" s="295">
        <v>1397</v>
      </c>
      <c r="U224" s="295">
        <v>30</v>
      </c>
      <c r="V224" s="295">
        <v>10</v>
      </c>
      <c r="W224" s="295">
        <v>5.5</v>
      </c>
      <c r="X224" s="295">
        <v>5</v>
      </c>
      <c r="Y224" s="295">
        <v>0</v>
      </c>
      <c r="Z224" s="295">
        <v>15</v>
      </c>
      <c r="AA224" s="295">
        <v>0</v>
      </c>
      <c r="AB224" s="295">
        <v>35</v>
      </c>
      <c r="AC224" s="295">
        <v>0</v>
      </c>
      <c r="AD224" s="295">
        <v>0</v>
      </c>
      <c r="AE224" s="295">
        <v>0</v>
      </c>
      <c r="AF224" s="295">
        <v>0</v>
      </c>
      <c r="AG224" s="295">
        <v>0</v>
      </c>
      <c r="AH224" s="295">
        <v>1497.5</v>
      </c>
      <c r="AI224" s="362"/>
    </row>
    <row r="225" spans="1:35" ht="13.5" customHeight="1">
      <c r="A225" s="291">
        <v>31849</v>
      </c>
      <c r="B225" s="291">
        <v>42657</v>
      </c>
      <c r="C225" s="292" t="s">
        <v>1146</v>
      </c>
      <c r="D225" s="293" t="s">
        <v>281</v>
      </c>
      <c r="E225" s="293" t="str">
        <f t="shared" si="3"/>
        <v>G</v>
      </c>
      <c r="F225" s="293" t="s">
        <v>126</v>
      </c>
      <c r="G225" s="294">
        <v>700</v>
      </c>
      <c r="H225" s="292" t="s">
        <v>97</v>
      </c>
      <c r="I225" s="292" t="s">
        <v>1147</v>
      </c>
      <c r="J225" s="293" t="s">
        <v>386</v>
      </c>
      <c r="K225" s="293"/>
      <c r="L225" s="293" t="s">
        <v>386</v>
      </c>
      <c r="M225" s="293" t="s">
        <v>537</v>
      </c>
      <c r="N225" s="295">
        <v>1289</v>
      </c>
      <c r="O225" s="296" t="s">
        <v>673</v>
      </c>
      <c r="P225" s="295">
        <v>0</v>
      </c>
      <c r="Q225" s="295">
        <v>0</v>
      </c>
      <c r="R225" s="295">
        <v>-250</v>
      </c>
      <c r="S225" s="295">
        <v>1319</v>
      </c>
      <c r="T225" s="295">
        <v>1319</v>
      </c>
      <c r="U225" s="295">
        <v>30</v>
      </c>
      <c r="V225" s="295">
        <v>10</v>
      </c>
      <c r="W225" s="295">
        <v>5.5</v>
      </c>
      <c r="X225" s="295">
        <v>5</v>
      </c>
      <c r="Y225" s="295">
        <v>18</v>
      </c>
      <c r="Z225" s="295">
        <v>0</v>
      </c>
      <c r="AA225" s="295">
        <v>0</v>
      </c>
      <c r="AB225" s="295">
        <v>0</v>
      </c>
      <c r="AC225" s="295">
        <v>0</v>
      </c>
      <c r="AD225" s="295">
        <v>0</v>
      </c>
      <c r="AE225" s="295">
        <v>0</v>
      </c>
      <c r="AF225" s="295">
        <v>0</v>
      </c>
      <c r="AG225" s="295">
        <v>0</v>
      </c>
      <c r="AH225" s="295">
        <v>1387.5</v>
      </c>
      <c r="AI225" s="362"/>
    </row>
    <row r="226" spans="1:35" ht="13.5" customHeight="1">
      <c r="A226" s="291">
        <v>32158</v>
      </c>
      <c r="B226" s="291">
        <v>43256</v>
      </c>
      <c r="C226" s="292" t="s">
        <v>1146</v>
      </c>
      <c r="D226" s="293" t="s">
        <v>281</v>
      </c>
      <c r="E226" s="293" t="str">
        <f t="shared" si="3"/>
        <v>G</v>
      </c>
      <c r="F226" s="293" t="s">
        <v>126</v>
      </c>
      <c r="G226" s="294">
        <v>700</v>
      </c>
      <c r="H226" s="292" t="s">
        <v>2082</v>
      </c>
      <c r="I226" s="292" t="s">
        <v>2140</v>
      </c>
      <c r="J226" s="293" t="s">
        <v>885</v>
      </c>
      <c r="K226" s="293"/>
      <c r="L226" s="293" t="s">
        <v>885</v>
      </c>
      <c r="M226" s="293" t="s">
        <v>2141</v>
      </c>
      <c r="N226" s="295">
        <v>0</v>
      </c>
      <c r="O226" s="296" t="s">
        <v>673</v>
      </c>
      <c r="P226" s="295">
        <v>0</v>
      </c>
      <c r="Q226" s="295">
        <v>0</v>
      </c>
      <c r="R226" s="295">
        <v>250</v>
      </c>
      <c r="S226" s="295">
        <v>1214</v>
      </c>
      <c r="T226" s="295">
        <v>1214</v>
      </c>
      <c r="U226" s="295">
        <v>30</v>
      </c>
      <c r="V226" s="295">
        <v>10</v>
      </c>
      <c r="W226" s="295">
        <v>5.5</v>
      </c>
      <c r="X226" s="295">
        <v>5</v>
      </c>
      <c r="Y226" s="295">
        <v>18</v>
      </c>
      <c r="Z226" s="295">
        <v>0</v>
      </c>
      <c r="AA226" s="295">
        <v>70</v>
      </c>
      <c r="AB226" s="295">
        <v>0</v>
      </c>
      <c r="AC226" s="295">
        <v>75</v>
      </c>
      <c r="AD226" s="295">
        <v>0</v>
      </c>
      <c r="AE226" s="295">
        <v>0</v>
      </c>
      <c r="AF226" s="295">
        <v>0</v>
      </c>
      <c r="AG226" s="295">
        <v>0</v>
      </c>
      <c r="AH226" s="295">
        <v>1427.5</v>
      </c>
      <c r="AI226" s="362"/>
    </row>
    <row r="227" spans="1:35" ht="13.5" customHeight="1">
      <c r="A227" s="291">
        <v>32046</v>
      </c>
      <c r="B227" s="291">
        <v>43055</v>
      </c>
      <c r="C227" s="292" t="s">
        <v>1148</v>
      </c>
      <c r="D227" s="293" t="s">
        <v>167</v>
      </c>
      <c r="E227" s="293" t="str">
        <f t="shared" si="3"/>
        <v>Q</v>
      </c>
      <c r="F227" s="293" t="s">
        <v>126</v>
      </c>
      <c r="G227" s="294">
        <v>700</v>
      </c>
      <c r="H227" s="292" t="s">
        <v>97</v>
      </c>
      <c r="I227" s="292" t="s">
        <v>1993</v>
      </c>
      <c r="J227" s="293" t="s">
        <v>539</v>
      </c>
      <c r="K227" s="293"/>
      <c r="L227" s="293" t="s">
        <v>539</v>
      </c>
      <c r="M227" s="293" t="s">
        <v>1980</v>
      </c>
      <c r="N227" s="295">
        <v>1329</v>
      </c>
      <c r="O227" s="296" t="s">
        <v>673</v>
      </c>
      <c r="P227" s="295">
        <v>0</v>
      </c>
      <c r="Q227" s="295">
        <v>0</v>
      </c>
      <c r="R227" s="295">
        <v>0</v>
      </c>
      <c r="S227" s="295">
        <v>1159</v>
      </c>
      <c r="T227" s="295">
        <v>1159</v>
      </c>
      <c r="U227" s="295">
        <v>30</v>
      </c>
      <c r="V227" s="295">
        <v>10</v>
      </c>
      <c r="W227" s="295">
        <v>5.5</v>
      </c>
      <c r="X227" s="295">
        <v>5</v>
      </c>
      <c r="Y227" s="295">
        <v>18</v>
      </c>
      <c r="Z227" s="295">
        <v>0</v>
      </c>
      <c r="AA227" s="295">
        <v>0</v>
      </c>
      <c r="AB227" s="295">
        <v>0</v>
      </c>
      <c r="AC227" s="295">
        <v>0</v>
      </c>
      <c r="AD227" s="295">
        <v>0</v>
      </c>
      <c r="AE227" s="295">
        <v>0</v>
      </c>
      <c r="AF227" s="295">
        <v>0</v>
      </c>
      <c r="AG227" s="295">
        <v>0</v>
      </c>
      <c r="AH227" s="295">
        <v>1227.5</v>
      </c>
      <c r="AI227" s="362"/>
    </row>
    <row r="228" spans="1:35" ht="13.5" customHeight="1">
      <c r="A228" s="291">
        <v>31900</v>
      </c>
      <c r="B228" s="291">
        <v>42754</v>
      </c>
      <c r="C228" s="292" t="s">
        <v>1149</v>
      </c>
      <c r="D228" s="293" t="s">
        <v>164</v>
      </c>
      <c r="E228" s="293" t="str">
        <f t="shared" si="3"/>
        <v>F</v>
      </c>
      <c r="F228" s="293" t="s">
        <v>126</v>
      </c>
      <c r="G228" s="294">
        <v>700</v>
      </c>
      <c r="H228" s="292" t="s">
        <v>97</v>
      </c>
      <c r="I228" s="292" t="s">
        <v>1862</v>
      </c>
      <c r="J228" s="293" t="s">
        <v>424</v>
      </c>
      <c r="K228" s="293"/>
      <c r="L228" s="293" t="s">
        <v>424</v>
      </c>
      <c r="M228" s="293" t="s">
        <v>1863</v>
      </c>
      <c r="N228" s="295">
        <v>1219</v>
      </c>
      <c r="O228" s="296" t="s">
        <v>673</v>
      </c>
      <c r="P228" s="295">
        <v>0</v>
      </c>
      <c r="Q228" s="295">
        <v>0</v>
      </c>
      <c r="R228" s="295">
        <v>0</v>
      </c>
      <c r="S228" s="295">
        <v>1249</v>
      </c>
      <c r="T228" s="295">
        <v>1249</v>
      </c>
      <c r="U228" s="295">
        <v>30</v>
      </c>
      <c r="V228" s="295">
        <v>10</v>
      </c>
      <c r="W228" s="295">
        <v>5.5</v>
      </c>
      <c r="X228" s="295">
        <v>5</v>
      </c>
      <c r="Y228" s="295">
        <v>18</v>
      </c>
      <c r="Z228" s="295">
        <v>15</v>
      </c>
      <c r="AA228" s="295">
        <v>0</v>
      </c>
      <c r="AB228" s="295">
        <v>0</v>
      </c>
      <c r="AC228" s="295">
        <v>0</v>
      </c>
      <c r="AD228" s="295">
        <v>0</v>
      </c>
      <c r="AE228" s="295">
        <v>0</v>
      </c>
      <c r="AF228" s="295">
        <v>0</v>
      </c>
      <c r="AG228" s="295">
        <v>0</v>
      </c>
      <c r="AH228" s="295">
        <v>1332.5</v>
      </c>
      <c r="AI228" s="362"/>
    </row>
    <row r="229" spans="1:35" ht="13.5" customHeight="1">
      <c r="A229" s="291">
        <v>31906</v>
      </c>
      <c r="B229" s="291">
        <v>42768</v>
      </c>
      <c r="C229" s="292" t="s">
        <v>1151</v>
      </c>
      <c r="D229" s="293" t="s">
        <v>167</v>
      </c>
      <c r="E229" s="293" t="str">
        <f t="shared" si="3"/>
        <v>Q</v>
      </c>
      <c r="F229" s="293" t="s">
        <v>126</v>
      </c>
      <c r="G229" s="294">
        <v>700</v>
      </c>
      <c r="H229" s="292" t="s">
        <v>97</v>
      </c>
      <c r="I229" s="292" t="s">
        <v>1152</v>
      </c>
      <c r="J229" s="293" t="s">
        <v>504</v>
      </c>
      <c r="K229" s="293"/>
      <c r="L229" s="293" t="s">
        <v>504</v>
      </c>
      <c r="M229" s="293" t="s">
        <v>509</v>
      </c>
      <c r="N229" s="295">
        <v>1329</v>
      </c>
      <c r="O229" s="296" t="s">
        <v>673</v>
      </c>
      <c r="P229" s="295">
        <v>0</v>
      </c>
      <c r="Q229" s="295">
        <v>0</v>
      </c>
      <c r="R229" s="295">
        <v>0</v>
      </c>
      <c r="S229" s="295">
        <v>1359</v>
      </c>
      <c r="T229" s="295">
        <v>1359</v>
      </c>
      <c r="U229" s="295">
        <v>30</v>
      </c>
      <c r="V229" s="295">
        <v>10</v>
      </c>
      <c r="W229" s="295">
        <v>5.5</v>
      </c>
      <c r="X229" s="295">
        <v>5</v>
      </c>
      <c r="Y229" s="295">
        <v>18</v>
      </c>
      <c r="Z229" s="295">
        <v>15</v>
      </c>
      <c r="AA229" s="295">
        <v>0</v>
      </c>
      <c r="AB229" s="295">
        <v>0</v>
      </c>
      <c r="AC229" s="295">
        <v>0</v>
      </c>
      <c r="AD229" s="295">
        <v>0</v>
      </c>
      <c r="AE229" s="295">
        <v>0</v>
      </c>
      <c r="AF229" s="295">
        <v>0</v>
      </c>
      <c r="AG229" s="295">
        <v>0</v>
      </c>
      <c r="AH229" s="295">
        <v>1442.5</v>
      </c>
      <c r="AI229" s="362"/>
    </row>
    <row r="230" spans="1:35" ht="13.5" customHeight="1">
      <c r="A230" s="291">
        <v>161</v>
      </c>
      <c r="B230" s="291">
        <v>43017</v>
      </c>
      <c r="C230" s="292" t="s">
        <v>1153</v>
      </c>
      <c r="D230" s="293" t="s">
        <v>166</v>
      </c>
      <c r="E230" s="293" t="str">
        <f t="shared" si="3"/>
        <v>2</v>
      </c>
      <c r="F230" s="293" t="s">
        <v>126</v>
      </c>
      <c r="G230" s="294">
        <v>700</v>
      </c>
      <c r="H230" s="292" t="s">
        <v>97</v>
      </c>
      <c r="I230" s="292" t="s">
        <v>1154</v>
      </c>
      <c r="J230" s="293" t="s">
        <v>1155</v>
      </c>
      <c r="K230" s="293"/>
      <c r="L230" s="293" t="s">
        <v>1226</v>
      </c>
      <c r="M230" s="293" t="s">
        <v>1937</v>
      </c>
      <c r="N230" s="295">
        <v>1319</v>
      </c>
      <c r="O230" s="296" t="s">
        <v>673</v>
      </c>
      <c r="P230" s="295">
        <v>0</v>
      </c>
      <c r="Q230" s="295">
        <v>0</v>
      </c>
      <c r="R230" s="295">
        <v>0</v>
      </c>
      <c r="S230" s="295">
        <v>1460</v>
      </c>
      <c r="T230" s="295">
        <v>1460</v>
      </c>
      <c r="U230" s="295">
        <v>30</v>
      </c>
      <c r="V230" s="295">
        <v>10</v>
      </c>
      <c r="W230" s="295">
        <v>5.5</v>
      </c>
      <c r="X230" s="295">
        <v>5</v>
      </c>
      <c r="Y230" s="295">
        <v>18</v>
      </c>
      <c r="Z230" s="295">
        <v>0</v>
      </c>
      <c r="AA230" s="295">
        <v>0</v>
      </c>
      <c r="AB230" s="295">
        <v>0</v>
      </c>
      <c r="AC230" s="295">
        <v>0</v>
      </c>
      <c r="AD230" s="295">
        <v>0</v>
      </c>
      <c r="AE230" s="295">
        <v>0</v>
      </c>
      <c r="AF230" s="295">
        <v>0</v>
      </c>
      <c r="AG230" s="295">
        <v>0</v>
      </c>
      <c r="AH230" s="295">
        <v>1528.5</v>
      </c>
      <c r="AI230" s="362"/>
    </row>
    <row r="231" spans="1:35" ht="13.5" customHeight="1">
      <c r="A231" s="291">
        <v>32051</v>
      </c>
      <c r="B231" s="291">
        <v>43060</v>
      </c>
      <c r="C231" s="292" t="s">
        <v>1156</v>
      </c>
      <c r="D231" s="293" t="s">
        <v>164</v>
      </c>
      <c r="E231" s="293" t="str">
        <f t="shared" si="3"/>
        <v>F</v>
      </c>
      <c r="F231" s="293" t="s">
        <v>126</v>
      </c>
      <c r="G231" s="294">
        <v>700</v>
      </c>
      <c r="H231" s="292" t="s">
        <v>97</v>
      </c>
      <c r="I231" s="292" t="s">
        <v>1994</v>
      </c>
      <c r="J231" s="293" t="s">
        <v>1992</v>
      </c>
      <c r="K231" s="293"/>
      <c r="L231" s="293" t="s">
        <v>1992</v>
      </c>
      <c r="M231" s="293" t="s">
        <v>1995</v>
      </c>
      <c r="N231" s="295">
        <v>1219</v>
      </c>
      <c r="O231" s="296" t="s">
        <v>673</v>
      </c>
      <c r="P231" s="295">
        <v>0</v>
      </c>
      <c r="Q231" s="295">
        <v>0</v>
      </c>
      <c r="R231" s="295">
        <v>0</v>
      </c>
      <c r="S231" s="295">
        <v>1149</v>
      </c>
      <c r="T231" s="295">
        <v>1149</v>
      </c>
      <c r="U231" s="295">
        <v>30</v>
      </c>
      <c r="V231" s="295">
        <v>10</v>
      </c>
      <c r="W231" s="295">
        <v>5.5</v>
      </c>
      <c r="X231" s="295">
        <v>5</v>
      </c>
      <c r="Y231" s="295">
        <v>18</v>
      </c>
      <c r="Z231" s="295">
        <v>0</v>
      </c>
      <c r="AA231" s="295">
        <v>0</v>
      </c>
      <c r="AB231" s="295">
        <v>0</v>
      </c>
      <c r="AC231" s="295">
        <v>0</v>
      </c>
      <c r="AD231" s="295">
        <v>0</v>
      </c>
      <c r="AE231" s="295">
        <v>0</v>
      </c>
      <c r="AF231" s="295">
        <v>0</v>
      </c>
      <c r="AG231" s="295">
        <v>0</v>
      </c>
      <c r="AH231" s="295">
        <v>1217.5</v>
      </c>
      <c r="AI231" s="362"/>
    </row>
    <row r="232" spans="1:35" ht="13.5" customHeight="1">
      <c r="A232" s="291">
        <v>31951</v>
      </c>
      <c r="B232" s="291">
        <v>42859</v>
      </c>
      <c r="C232" s="292" t="s">
        <v>1157</v>
      </c>
      <c r="D232" s="293" t="s">
        <v>164</v>
      </c>
      <c r="E232" s="293" t="str">
        <f t="shared" si="3"/>
        <v>F</v>
      </c>
      <c r="F232" s="293" t="s">
        <v>126</v>
      </c>
      <c r="G232" s="294">
        <v>700</v>
      </c>
      <c r="H232" s="292" t="s">
        <v>97</v>
      </c>
      <c r="I232" s="292" t="s">
        <v>1864</v>
      </c>
      <c r="J232" s="293" t="s">
        <v>771</v>
      </c>
      <c r="K232" s="293"/>
      <c r="L232" s="293" t="s">
        <v>771</v>
      </c>
      <c r="M232" s="293" t="s">
        <v>1797</v>
      </c>
      <c r="N232" s="295">
        <v>1219</v>
      </c>
      <c r="O232" s="296" t="s">
        <v>673</v>
      </c>
      <c r="P232" s="295">
        <v>0</v>
      </c>
      <c r="Q232" s="295">
        <v>0</v>
      </c>
      <c r="R232" s="295">
        <v>-1368.37</v>
      </c>
      <c r="S232" s="295">
        <v>1249</v>
      </c>
      <c r="T232" s="295">
        <v>1249</v>
      </c>
      <c r="U232" s="295">
        <v>30</v>
      </c>
      <c r="V232" s="295">
        <v>10</v>
      </c>
      <c r="W232" s="295">
        <v>5.5</v>
      </c>
      <c r="X232" s="295">
        <v>5</v>
      </c>
      <c r="Y232" s="295">
        <v>18</v>
      </c>
      <c r="Z232" s="295">
        <v>0</v>
      </c>
      <c r="AA232" s="295">
        <v>0</v>
      </c>
      <c r="AB232" s="295">
        <v>0</v>
      </c>
      <c r="AC232" s="295">
        <v>0</v>
      </c>
      <c r="AD232" s="295">
        <v>0</v>
      </c>
      <c r="AE232" s="295">
        <v>0</v>
      </c>
      <c r="AF232" s="295">
        <v>0</v>
      </c>
      <c r="AG232" s="295">
        <v>0</v>
      </c>
      <c r="AH232" s="295">
        <v>1317.5</v>
      </c>
      <c r="AI232" s="362"/>
    </row>
    <row r="233" spans="1:35" ht="13.5" customHeight="1">
      <c r="A233" s="291">
        <v>32059</v>
      </c>
      <c r="B233" s="291">
        <v>43075</v>
      </c>
      <c r="C233" s="292" t="s">
        <v>1158</v>
      </c>
      <c r="D233" s="293" t="s">
        <v>164</v>
      </c>
      <c r="E233" s="293" t="str">
        <f t="shared" si="3"/>
        <v>F</v>
      </c>
      <c r="F233" s="293" t="s">
        <v>126</v>
      </c>
      <c r="G233" s="294">
        <v>700</v>
      </c>
      <c r="H233" s="292" t="s">
        <v>97</v>
      </c>
      <c r="I233" s="292" t="s">
        <v>1996</v>
      </c>
      <c r="J233" s="293" t="s">
        <v>750</v>
      </c>
      <c r="K233" s="293"/>
      <c r="L233" s="293" t="s">
        <v>750</v>
      </c>
      <c r="M233" s="293" t="s">
        <v>1997</v>
      </c>
      <c r="N233" s="295">
        <v>1219</v>
      </c>
      <c r="O233" s="296" t="s">
        <v>673</v>
      </c>
      <c r="P233" s="295">
        <v>0</v>
      </c>
      <c r="Q233" s="295">
        <v>0</v>
      </c>
      <c r="R233" s="295">
        <v>0</v>
      </c>
      <c r="S233" s="295">
        <v>1049</v>
      </c>
      <c r="T233" s="295">
        <v>1049</v>
      </c>
      <c r="U233" s="295">
        <v>30</v>
      </c>
      <c r="V233" s="295">
        <v>10</v>
      </c>
      <c r="W233" s="295">
        <v>5</v>
      </c>
      <c r="X233" s="295">
        <v>5</v>
      </c>
      <c r="Y233" s="295">
        <v>18</v>
      </c>
      <c r="Z233" s="295">
        <v>15</v>
      </c>
      <c r="AA233" s="295">
        <v>0</v>
      </c>
      <c r="AB233" s="295">
        <v>35</v>
      </c>
      <c r="AC233" s="295">
        <v>0</v>
      </c>
      <c r="AD233" s="295">
        <v>0</v>
      </c>
      <c r="AE233" s="295">
        <v>0</v>
      </c>
      <c r="AF233" s="295">
        <v>0</v>
      </c>
      <c r="AG233" s="295">
        <v>0</v>
      </c>
      <c r="AH233" s="295">
        <v>1167</v>
      </c>
      <c r="AI233" s="362"/>
    </row>
    <row r="234" spans="1:35" ht="13.5" customHeight="1">
      <c r="A234" s="291">
        <v>31897</v>
      </c>
      <c r="B234" s="291">
        <v>42751</v>
      </c>
      <c r="C234" s="292" t="s">
        <v>1160</v>
      </c>
      <c r="D234" s="293" t="s">
        <v>281</v>
      </c>
      <c r="E234" s="293" t="str">
        <f t="shared" si="3"/>
        <v>G</v>
      </c>
      <c r="F234" s="293" t="s">
        <v>126</v>
      </c>
      <c r="G234" s="294">
        <v>700</v>
      </c>
      <c r="H234" s="292" t="s">
        <v>97</v>
      </c>
      <c r="I234" s="292" t="s">
        <v>1161</v>
      </c>
      <c r="J234" s="293" t="s">
        <v>392</v>
      </c>
      <c r="K234" s="293"/>
      <c r="L234" s="293" t="s">
        <v>392</v>
      </c>
      <c r="M234" s="293" t="s">
        <v>528</v>
      </c>
      <c r="N234" s="295">
        <v>1289</v>
      </c>
      <c r="O234" s="296" t="s">
        <v>673</v>
      </c>
      <c r="P234" s="295">
        <v>0</v>
      </c>
      <c r="Q234" s="295">
        <v>0</v>
      </c>
      <c r="R234" s="295">
        <v>0</v>
      </c>
      <c r="S234" s="295">
        <v>1319</v>
      </c>
      <c r="T234" s="295">
        <v>1319</v>
      </c>
      <c r="U234" s="295">
        <v>30</v>
      </c>
      <c r="V234" s="295">
        <v>10</v>
      </c>
      <c r="W234" s="295">
        <v>5.5</v>
      </c>
      <c r="X234" s="295">
        <v>5</v>
      </c>
      <c r="Y234" s="295">
        <v>18</v>
      </c>
      <c r="Z234" s="295">
        <v>15</v>
      </c>
      <c r="AA234" s="295">
        <v>0</v>
      </c>
      <c r="AB234" s="295">
        <v>0</v>
      </c>
      <c r="AC234" s="295">
        <v>0</v>
      </c>
      <c r="AD234" s="295">
        <v>0</v>
      </c>
      <c r="AE234" s="295">
        <v>0</v>
      </c>
      <c r="AF234" s="295">
        <v>0</v>
      </c>
      <c r="AG234" s="295">
        <v>0</v>
      </c>
      <c r="AH234" s="295">
        <v>1402.5</v>
      </c>
      <c r="AI234" s="362"/>
    </row>
    <row r="235" spans="1:35" ht="13.5" customHeight="1">
      <c r="A235" s="291">
        <v>31823</v>
      </c>
      <c r="B235" s="291">
        <v>43146</v>
      </c>
      <c r="C235" s="292" t="s">
        <v>1162</v>
      </c>
      <c r="D235" s="293" t="s">
        <v>167</v>
      </c>
      <c r="E235" s="293" t="str">
        <f t="shared" si="3"/>
        <v>Q</v>
      </c>
      <c r="F235" s="293" t="s">
        <v>126</v>
      </c>
      <c r="G235" s="294">
        <v>700</v>
      </c>
      <c r="H235" s="292" t="s">
        <v>97</v>
      </c>
      <c r="I235" s="292" t="s">
        <v>1163</v>
      </c>
      <c r="J235" s="293" t="s">
        <v>357</v>
      </c>
      <c r="K235" s="293"/>
      <c r="L235" s="293" t="s">
        <v>791</v>
      </c>
      <c r="M235" s="293" t="s">
        <v>2116</v>
      </c>
      <c r="N235" s="295">
        <v>1329</v>
      </c>
      <c r="O235" s="296" t="s">
        <v>673</v>
      </c>
      <c r="P235" s="295">
        <v>0</v>
      </c>
      <c r="Q235" s="295">
        <v>0</v>
      </c>
      <c r="R235" s="295">
        <v>250</v>
      </c>
      <c r="S235" s="295">
        <v>1309</v>
      </c>
      <c r="T235" s="295">
        <v>1309</v>
      </c>
      <c r="U235" s="295">
        <v>30</v>
      </c>
      <c r="V235" s="295">
        <v>10</v>
      </c>
      <c r="W235" s="295">
        <v>5.5</v>
      </c>
      <c r="X235" s="295">
        <v>5</v>
      </c>
      <c r="Y235" s="295">
        <v>0</v>
      </c>
      <c r="Z235" s="295">
        <v>15</v>
      </c>
      <c r="AA235" s="295">
        <v>0</v>
      </c>
      <c r="AB235" s="295">
        <v>0</v>
      </c>
      <c r="AC235" s="295">
        <v>0</v>
      </c>
      <c r="AD235" s="295">
        <v>0</v>
      </c>
      <c r="AE235" s="295">
        <v>0</v>
      </c>
      <c r="AF235" s="295">
        <v>0</v>
      </c>
      <c r="AG235" s="295">
        <v>0</v>
      </c>
      <c r="AH235" s="295">
        <v>1374.5</v>
      </c>
      <c r="AI235" s="362"/>
    </row>
    <row r="236" spans="1:35" ht="13.5" customHeight="1">
      <c r="A236" s="291">
        <v>0</v>
      </c>
      <c r="B236" s="291">
        <v>0</v>
      </c>
      <c r="C236" s="292" t="s">
        <v>1164</v>
      </c>
      <c r="D236" s="293" t="s">
        <v>167</v>
      </c>
      <c r="E236" s="293" t="str">
        <f t="shared" si="3"/>
        <v>Q</v>
      </c>
      <c r="F236" s="293" t="s">
        <v>126</v>
      </c>
      <c r="G236" s="294">
        <v>700</v>
      </c>
      <c r="H236" s="292" t="s">
        <v>101</v>
      </c>
      <c r="I236" s="292" t="s">
        <v>682</v>
      </c>
      <c r="J236" s="293"/>
      <c r="K236" s="293"/>
      <c r="L236" s="293"/>
      <c r="M236" s="293"/>
      <c r="N236" s="295">
        <v>1329</v>
      </c>
      <c r="O236" s="296"/>
      <c r="P236" s="295">
        <v>0</v>
      </c>
      <c r="Q236" s="295">
        <v>0</v>
      </c>
      <c r="R236" s="295">
        <v>0</v>
      </c>
      <c r="S236" s="295">
        <v>0</v>
      </c>
      <c r="T236" s="295">
        <v>0</v>
      </c>
      <c r="U236" s="295">
        <v>0</v>
      </c>
      <c r="V236" s="295">
        <v>0</v>
      </c>
      <c r="W236" s="295">
        <v>0</v>
      </c>
      <c r="X236" s="295">
        <v>0</v>
      </c>
      <c r="Y236" s="295">
        <v>0</v>
      </c>
      <c r="Z236" s="295">
        <v>0</v>
      </c>
      <c r="AA236" s="295">
        <v>0</v>
      </c>
      <c r="AB236" s="295">
        <v>0</v>
      </c>
      <c r="AC236" s="295">
        <v>0</v>
      </c>
      <c r="AD236" s="295">
        <v>0</v>
      </c>
      <c r="AE236" s="295">
        <v>0</v>
      </c>
      <c r="AF236" s="295">
        <v>0</v>
      </c>
      <c r="AG236" s="295">
        <v>0</v>
      </c>
      <c r="AH236" s="295">
        <v>0</v>
      </c>
      <c r="AI236" s="362"/>
    </row>
    <row r="237" spans="1:35" ht="13.5" customHeight="1">
      <c r="A237" s="291">
        <v>31880</v>
      </c>
      <c r="B237" s="291">
        <v>42708</v>
      </c>
      <c r="C237" s="292" t="s">
        <v>1165</v>
      </c>
      <c r="D237" s="293" t="s">
        <v>167</v>
      </c>
      <c r="E237" s="293" t="str">
        <f t="shared" si="3"/>
        <v>Q</v>
      </c>
      <c r="F237" s="293" t="s">
        <v>126</v>
      </c>
      <c r="G237" s="294">
        <v>700</v>
      </c>
      <c r="H237" s="292" t="s">
        <v>97</v>
      </c>
      <c r="I237" s="292" t="s">
        <v>1166</v>
      </c>
      <c r="J237" s="293" t="s">
        <v>378</v>
      </c>
      <c r="K237" s="293"/>
      <c r="L237" s="293" t="s">
        <v>378</v>
      </c>
      <c r="M237" s="293" t="s">
        <v>502</v>
      </c>
      <c r="N237" s="295">
        <v>1329</v>
      </c>
      <c r="O237" s="296" t="s">
        <v>673</v>
      </c>
      <c r="P237" s="295">
        <v>0</v>
      </c>
      <c r="Q237" s="295">
        <v>0</v>
      </c>
      <c r="R237" s="295">
        <v>-1500</v>
      </c>
      <c r="S237" s="295">
        <v>1359</v>
      </c>
      <c r="T237" s="295">
        <v>1359</v>
      </c>
      <c r="U237" s="295">
        <v>30</v>
      </c>
      <c r="V237" s="295">
        <v>10</v>
      </c>
      <c r="W237" s="295">
        <v>5.5</v>
      </c>
      <c r="X237" s="295">
        <v>5</v>
      </c>
      <c r="Y237" s="295">
        <v>18</v>
      </c>
      <c r="Z237" s="295">
        <v>0</v>
      </c>
      <c r="AA237" s="295">
        <v>0</v>
      </c>
      <c r="AB237" s="295">
        <v>0</v>
      </c>
      <c r="AC237" s="295">
        <v>0</v>
      </c>
      <c r="AD237" s="295">
        <v>0</v>
      </c>
      <c r="AE237" s="295">
        <v>0</v>
      </c>
      <c r="AF237" s="295">
        <v>0</v>
      </c>
      <c r="AG237" s="295">
        <v>0</v>
      </c>
      <c r="AH237" s="295">
        <v>1427.5</v>
      </c>
      <c r="AI237" s="362"/>
    </row>
    <row r="238" spans="1:35" ht="13.5" customHeight="1">
      <c r="A238" s="291">
        <v>32134</v>
      </c>
      <c r="B238" s="291">
        <v>43202</v>
      </c>
      <c r="C238" s="292" t="s">
        <v>1167</v>
      </c>
      <c r="D238" s="293" t="s">
        <v>167</v>
      </c>
      <c r="E238" s="293" t="str">
        <f t="shared" si="3"/>
        <v>Q</v>
      </c>
      <c r="F238" s="293" t="s">
        <v>126</v>
      </c>
      <c r="G238" s="294">
        <v>700</v>
      </c>
      <c r="H238" s="292" t="s">
        <v>97</v>
      </c>
      <c r="I238" s="292" t="s">
        <v>2142</v>
      </c>
      <c r="J238" s="293" t="s">
        <v>717</v>
      </c>
      <c r="K238" s="293"/>
      <c r="L238" s="293" t="s">
        <v>717</v>
      </c>
      <c r="M238" s="293" t="s">
        <v>1983</v>
      </c>
      <c r="N238" s="295">
        <v>1329</v>
      </c>
      <c r="O238" s="296" t="s">
        <v>673</v>
      </c>
      <c r="P238" s="295">
        <v>0</v>
      </c>
      <c r="Q238" s="295">
        <v>0</v>
      </c>
      <c r="R238" s="295">
        <v>0</v>
      </c>
      <c r="S238" s="295">
        <v>1299</v>
      </c>
      <c r="T238" s="295">
        <v>1299</v>
      </c>
      <c r="U238" s="295">
        <v>30</v>
      </c>
      <c r="V238" s="295">
        <v>10</v>
      </c>
      <c r="W238" s="295">
        <v>5.5</v>
      </c>
      <c r="X238" s="295">
        <v>5</v>
      </c>
      <c r="Y238" s="295">
        <v>18</v>
      </c>
      <c r="Z238" s="295">
        <v>0</v>
      </c>
      <c r="AA238" s="295">
        <v>70</v>
      </c>
      <c r="AB238" s="295">
        <v>35</v>
      </c>
      <c r="AC238" s="295">
        <v>75</v>
      </c>
      <c r="AD238" s="295">
        <v>0</v>
      </c>
      <c r="AE238" s="295">
        <v>0</v>
      </c>
      <c r="AF238" s="295">
        <v>0</v>
      </c>
      <c r="AG238" s="295">
        <v>0</v>
      </c>
      <c r="AH238" s="295">
        <v>1547.5</v>
      </c>
      <c r="AI238" s="362"/>
    </row>
    <row r="239" spans="1:35" ht="13.5" customHeight="1">
      <c r="A239" s="291">
        <v>31976</v>
      </c>
      <c r="B239" s="291">
        <v>42910</v>
      </c>
      <c r="C239" s="292" t="s">
        <v>1170</v>
      </c>
      <c r="D239" s="293" t="s">
        <v>691</v>
      </c>
      <c r="E239" s="293" t="str">
        <f t="shared" si="3"/>
        <v>G</v>
      </c>
      <c r="F239" s="293" t="s">
        <v>126</v>
      </c>
      <c r="G239" s="294">
        <v>825</v>
      </c>
      <c r="H239" s="292" t="s">
        <v>97</v>
      </c>
      <c r="I239" s="292" t="s">
        <v>1865</v>
      </c>
      <c r="J239" s="293" t="s">
        <v>417</v>
      </c>
      <c r="K239" s="293"/>
      <c r="L239" s="293" t="s">
        <v>417</v>
      </c>
      <c r="M239" s="293" t="s">
        <v>1848</v>
      </c>
      <c r="N239" s="295">
        <v>1349</v>
      </c>
      <c r="O239" s="296" t="s">
        <v>673</v>
      </c>
      <c r="P239" s="295">
        <v>0</v>
      </c>
      <c r="Q239" s="295">
        <v>0</v>
      </c>
      <c r="R239" s="295">
        <v>0</v>
      </c>
      <c r="S239" s="295">
        <v>1269</v>
      </c>
      <c r="T239" s="295">
        <v>1269</v>
      </c>
      <c r="U239" s="295">
        <v>30</v>
      </c>
      <c r="V239" s="295">
        <v>10</v>
      </c>
      <c r="W239" s="295">
        <v>5.5</v>
      </c>
      <c r="X239" s="295">
        <v>5</v>
      </c>
      <c r="Y239" s="295">
        <v>18</v>
      </c>
      <c r="Z239" s="295">
        <v>0</v>
      </c>
      <c r="AA239" s="295">
        <v>0</v>
      </c>
      <c r="AB239" s="295">
        <v>0</v>
      </c>
      <c r="AC239" s="295">
        <v>0</v>
      </c>
      <c r="AD239" s="295">
        <v>0</v>
      </c>
      <c r="AE239" s="295">
        <v>0</v>
      </c>
      <c r="AF239" s="295">
        <v>0</v>
      </c>
      <c r="AG239" s="295">
        <v>0</v>
      </c>
      <c r="AH239" s="295">
        <v>1337.5</v>
      </c>
      <c r="AI239" s="362"/>
    </row>
    <row r="240" spans="1:35" ht="13.5" customHeight="1">
      <c r="A240" s="291">
        <v>31450</v>
      </c>
      <c r="B240" s="291">
        <v>42735</v>
      </c>
      <c r="C240" s="292" t="s">
        <v>1171</v>
      </c>
      <c r="D240" s="293" t="s">
        <v>180</v>
      </c>
      <c r="E240" s="293" t="str">
        <f t="shared" si="3"/>
        <v>Q</v>
      </c>
      <c r="F240" s="293" t="s">
        <v>126</v>
      </c>
      <c r="G240" s="294">
        <v>825</v>
      </c>
      <c r="H240" s="292" t="s">
        <v>97</v>
      </c>
      <c r="I240" s="292" t="s">
        <v>1172</v>
      </c>
      <c r="J240" s="293" t="s">
        <v>313</v>
      </c>
      <c r="K240" s="293"/>
      <c r="L240" s="293" t="s">
        <v>493</v>
      </c>
      <c r="M240" s="293" t="s">
        <v>501</v>
      </c>
      <c r="N240" s="295">
        <v>1389</v>
      </c>
      <c r="O240" s="296" t="s">
        <v>673</v>
      </c>
      <c r="P240" s="295">
        <v>0</v>
      </c>
      <c r="Q240" s="295">
        <v>0</v>
      </c>
      <c r="R240" s="295">
        <v>0</v>
      </c>
      <c r="S240" s="295">
        <v>1409</v>
      </c>
      <c r="T240" s="295">
        <v>1409</v>
      </c>
      <c r="U240" s="295">
        <v>30</v>
      </c>
      <c r="V240" s="295">
        <v>10</v>
      </c>
      <c r="W240" s="295">
        <v>5.5</v>
      </c>
      <c r="X240" s="295">
        <v>5</v>
      </c>
      <c r="Y240" s="295">
        <v>18</v>
      </c>
      <c r="Z240" s="295">
        <v>30</v>
      </c>
      <c r="AA240" s="295">
        <v>0</v>
      </c>
      <c r="AB240" s="295">
        <v>0</v>
      </c>
      <c r="AC240" s="295">
        <v>0</v>
      </c>
      <c r="AD240" s="295">
        <v>0</v>
      </c>
      <c r="AE240" s="295">
        <v>0</v>
      </c>
      <c r="AF240" s="295">
        <v>0</v>
      </c>
      <c r="AG240" s="295">
        <v>0</v>
      </c>
      <c r="AH240" s="295">
        <v>1507.5</v>
      </c>
      <c r="AI240" s="362"/>
    </row>
    <row r="241" spans="1:35" ht="13.5" customHeight="1">
      <c r="A241" s="291">
        <v>11160</v>
      </c>
      <c r="B241" s="291">
        <v>42820</v>
      </c>
      <c r="C241" s="292" t="s">
        <v>1173</v>
      </c>
      <c r="D241" s="293" t="s">
        <v>171</v>
      </c>
      <c r="E241" s="293" t="str">
        <f t="shared" si="3"/>
        <v>F</v>
      </c>
      <c r="F241" s="293" t="s">
        <v>126</v>
      </c>
      <c r="G241" s="294">
        <v>825</v>
      </c>
      <c r="H241" s="292" t="s">
        <v>97</v>
      </c>
      <c r="I241" s="292" t="s">
        <v>1174</v>
      </c>
      <c r="J241" s="293" t="s">
        <v>1175</v>
      </c>
      <c r="K241" s="293"/>
      <c r="L241" s="293" t="s">
        <v>1800</v>
      </c>
      <c r="M241" s="293" t="s">
        <v>1801</v>
      </c>
      <c r="N241" s="295">
        <v>1279</v>
      </c>
      <c r="O241" s="296" t="s">
        <v>673</v>
      </c>
      <c r="P241" s="295">
        <v>0</v>
      </c>
      <c r="Q241" s="295">
        <v>0</v>
      </c>
      <c r="R241" s="295">
        <v>0</v>
      </c>
      <c r="S241" s="295">
        <v>1345</v>
      </c>
      <c r="T241" s="295">
        <v>1345</v>
      </c>
      <c r="U241" s="295">
        <v>30</v>
      </c>
      <c r="V241" s="295">
        <v>10</v>
      </c>
      <c r="W241" s="295">
        <v>5.5</v>
      </c>
      <c r="X241" s="295">
        <v>5</v>
      </c>
      <c r="Y241" s="295">
        <v>18</v>
      </c>
      <c r="Z241" s="295">
        <v>15</v>
      </c>
      <c r="AA241" s="295">
        <v>0</v>
      </c>
      <c r="AB241" s="295">
        <v>0</v>
      </c>
      <c r="AC241" s="295">
        <v>0</v>
      </c>
      <c r="AD241" s="295">
        <v>0</v>
      </c>
      <c r="AE241" s="295">
        <v>0</v>
      </c>
      <c r="AF241" s="295">
        <v>0</v>
      </c>
      <c r="AG241" s="295">
        <v>0</v>
      </c>
      <c r="AH241" s="295">
        <v>1428.5</v>
      </c>
      <c r="AI241" s="362"/>
    </row>
    <row r="242" spans="1:35" ht="13.5" customHeight="1">
      <c r="A242" s="291">
        <v>31618</v>
      </c>
      <c r="B242" s="291">
        <v>42832</v>
      </c>
      <c r="C242" s="292" t="s">
        <v>1176</v>
      </c>
      <c r="D242" s="293" t="s">
        <v>180</v>
      </c>
      <c r="E242" s="293" t="str">
        <f t="shared" si="3"/>
        <v>Q</v>
      </c>
      <c r="F242" s="293" t="s">
        <v>126</v>
      </c>
      <c r="G242" s="294">
        <v>825</v>
      </c>
      <c r="H242" s="292" t="s">
        <v>97</v>
      </c>
      <c r="I242" s="292" t="s">
        <v>1177</v>
      </c>
      <c r="J242" s="293" t="s">
        <v>335</v>
      </c>
      <c r="K242" s="293"/>
      <c r="L242" s="293" t="s">
        <v>758</v>
      </c>
      <c r="M242" s="293" t="s">
        <v>1801</v>
      </c>
      <c r="N242" s="295">
        <v>1389</v>
      </c>
      <c r="O242" s="296" t="s">
        <v>673</v>
      </c>
      <c r="P242" s="295">
        <v>0</v>
      </c>
      <c r="Q242" s="295">
        <v>0</v>
      </c>
      <c r="R242" s="295">
        <v>-1574.04</v>
      </c>
      <c r="S242" s="295">
        <v>1449</v>
      </c>
      <c r="T242" s="295">
        <v>1449</v>
      </c>
      <c r="U242" s="295">
        <v>30</v>
      </c>
      <c r="V242" s="295">
        <v>10</v>
      </c>
      <c r="W242" s="295">
        <v>5.5</v>
      </c>
      <c r="X242" s="295">
        <v>5</v>
      </c>
      <c r="Y242" s="295">
        <v>18</v>
      </c>
      <c r="Z242" s="295">
        <v>15</v>
      </c>
      <c r="AA242" s="295">
        <v>0</v>
      </c>
      <c r="AB242" s="295">
        <v>0</v>
      </c>
      <c r="AC242" s="295">
        <v>0</v>
      </c>
      <c r="AD242" s="295">
        <v>0</v>
      </c>
      <c r="AE242" s="295">
        <v>0</v>
      </c>
      <c r="AF242" s="295">
        <v>0</v>
      </c>
      <c r="AG242" s="295">
        <v>0</v>
      </c>
      <c r="AH242" s="295">
        <v>1532.5</v>
      </c>
      <c r="AI242" s="362"/>
    </row>
    <row r="243" spans="1:35" ht="13.5" customHeight="1">
      <c r="A243" s="291">
        <v>11343</v>
      </c>
      <c r="B243" s="291">
        <v>43148</v>
      </c>
      <c r="C243" s="292" t="s">
        <v>1178</v>
      </c>
      <c r="D243" s="293" t="s">
        <v>171</v>
      </c>
      <c r="E243" s="293" t="str">
        <f t="shared" si="3"/>
        <v>F</v>
      </c>
      <c r="F243" s="293" t="s">
        <v>126</v>
      </c>
      <c r="G243" s="294">
        <v>825</v>
      </c>
      <c r="H243" s="292" t="s">
        <v>97</v>
      </c>
      <c r="I243" s="292" t="s">
        <v>1179</v>
      </c>
      <c r="J243" s="293" t="s">
        <v>1180</v>
      </c>
      <c r="K243" s="293"/>
      <c r="L243" s="293" t="s">
        <v>484</v>
      </c>
      <c r="M243" s="293" t="s">
        <v>2114</v>
      </c>
      <c r="N243" s="295">
        <v>1279</v>
      </c>
      <c r="O243" s="296" t="s">
        <v>673</v>
      </c>
      <c r="P243" s="295">
        <v>0</v>
      </c>
      <c r="Q243" s="295">
        <v>0</v>
      </c>
      <c r="R243" s="295">
        <v>0</v>
      </c>
      <c r="S243" s="295">
        <v>1279</v>
      </c>
      <c r="T243" s="295">
        <v>1279</v>
      </c>
      <c r="U243" s="295">
        <v>30</v>
      </c>
      <c r="V243" s="295">
        <v>10</v>
      </c>
      <c r="W243" s="295">
        <v>5.5</v>
      </c>
      <c r="X243" s="295">
        <v>5</v>
      </c>
      <c r="Y243" s="295">
        <v>18</v>
      </c>
      <c r="Z243" s="295">
        <v>0</v>
      </c>
      <c r="AA243" s="295">
        <v>0</v>
      </c>
      <c r="AB243" s="295">
        <v>0</v>
      </c>
      <c r="AC243" s="295">
        <v>0</v>
      </c>
      <c r="AD243" s="295">
        <v>0</v>
      </c>
      <c r="AE243" s="295">
        <v>0</v>
      </c>
      <c r="AF243" s="295">
        <v>0</v>
      </c>
      <c r="AG243" s="295">
        <v>0</v>
      </c>
      <c r="AH243" s="295">
        <v>1347.5</v>
      </c>
      <c r="AI243" s="362"/>
    </row>
    <row r="244" spans="1:35" ht="13.5" customHeight="1">
      <c r="A244" s="291">
        <v>0</v>
      </c>
      <c r="B244" s="291">
        <v>0</v>
      </c>
      <c r="C244" s="292" t="s">
        <v>1181</v>
      </c>
      <c r="D244" s="293" t="s">
        <v>691</v>
      </c>
      <c r="E244" s="293" t="str">
        <f t="shared" si="3"/>
        <v>G</v>
      </c>
      <c r="F244" s="293" t="s">
        <v>126</v>
      </c>
      <c r="G244" s="294">
        <v>825</v>
      </c>
      <c r="H244" s="292" t="s">
        <v>140</v>
      </c>
      <c r="I244" s="292" t="s">
        <v>682</v>
      </c>
      <c r="J244" s="293"/>
      <c r="K244" s="293"/>
      <c r="L244" s="293"/>
      <c r="M244" s="293"/>
      <c r="N244" s="295">
        <v>1349</v>
      </c>
      <c r="O244" s="296"/>
      <c r="P244" s="295">
        <v>0</v>
      </c>
      <c r="Q244" s="295">
        <v>0</v>
      </c>
      <c r="R244" s="295">
        <v>0</v>
      </c>
      <c r="S244" s="295">
        <v>0</v>
      </c>
      <c r="T244" s="295">
        <v>0</v>
      </c>
      <c r="U244" s="295">
        <v>0</v>
      </c>
      <c r="V244" s="295">
        <v>0</v>
      </c>
      <c r="W244" s="295">
        <v>0</v>
      </c>
      <c r="X244" s="295">
        <v>0</v>
      </c>
      <c r="Y244" s="295">
        <v>0</v>
      </c>
      <c r="Z244" s="295">
        <v>0</v>
      </c>
      <c r="AA244" s="295">
        <v>0</v>
      </c>
      <c r="AB244" s="295">
        <v>0</v>
      </c>
      <c r="AC244" s="295">
        <v>0</v>
      </c>
      <c r="AD244" s="295">
        <v>0</v>
      </c>
      <c r="AE244" s="295">
        <v>0</v>
      </c>
      <c r="AF244" s="295">
        <v>0</v>
      </c>
      <c r="AG244" s="295">
        <v>0</v>
      </c>
      <c r="AH244" s="295">
        <v>0</v>
      </c>
      <c r="AI244" s="362"/>
    </row>
    <row r="245" spans="1:35" ht="13.5" customHeight="1">
      <c r="A245" s="291">
        <v>32157</v>
      </c>
      <c r="B245" s="291">
        <v>43255</v>
      </c>
      <c r="C245" s="292" t="s">
        <v>1181</v>
      </c>
      <c r="D245" s="293" t="s">
        <v>691</v>
      </c>
      <c r="E245" s="293" t="str">
        <f t="shared" si="3"/>
        <v>G</v>
      </c>
      <c r="F245" s="293" t="s">
        <v>126</v>
      </c>
      <c r="G245" s="294">
        <v>825</v>
      </c>
      <c r="H245" s="292" t="s">
        <v>2082</v>
      </c>
      <c r="I245" s="292" t="s">
        <v>2143</v>
      </c>
      <c r="J245" s="293" t="s">
        <v>487</v>
      </c>
      <c r="K245" s="293"/>
      <c r="L245" s="293" t="s">
        <v>487</v>
      </c>
      <c r="M245" s="293" t="s">
        <v>2097</v>
      </c>
      <c r="N245" s="295">
        <v>0</v>
      </c>
      <c r="O245" s="296" t="s">
        <v>673</v>
      </c>
      <c r="P245" s="295">
        <v>0</v>
      </c>
      <c r="Q245" s="295">
        <v>0</v>
      </c>
      <c r="R245" s="295">
        <v>0</v>
      </c>
      <c r="S245" s="295">
        <v>1349</v>
      </c>
      <c r="T245" s="295">
        <v>1349</v>
      </c>
      <c r="U245" s="295">
        <v>30</v>
      </c>
      <c r="V245" s="295">
        <v>10</v>
      </c>
      <c r="W245" s="295">
        <v>5.5</v>
      </c>
      <c r="X245" s="295">
        <v>5</v>
      </c>
      <c r="Y245" s="295">
        <v>18</v>
      </c>
      <c r="Z245" s="295">
        <v>0</v>
      </c>
      <c r="AA245" s="295">
        <v>70</v>
      </c>
      <c r="AB245" s="295">
        <v>35</v>
      </c>
      <c r="AC245" s="295">
        <v>0</v>
      </c>
      <c r="AD245" s="295">
        <v>0</v>
      </c>
      <c r="AE245" s="295">
        <v>0</v>
      </c>
      <c r="AF245" s="295">
        <v>0</v>
      </c>
      <c r="AG245" s="295">
        <v>0</v>
      </c>
      <c r="AH245" s="295">
        <v>1522.5</v>
      </c>
      <c r="AI245" s="362"/>
    </row>
    <row r="246" spans="1:35" ht="13.5" customHeight="1">
      <c r="A246" s="291">
        <v>430</v>
      </c>
      <c r="B246" s="291">
        <v>42734</v>
      </c>
      <c r="C246" s="292" t="s">
        <v>1182</v>
      </c>
      <c r="D246" s="293" t="s">
        <v>169</v>
      </c>
      <c r="E246" s="293" t="str">
        <f t="shared" si="3"/>
        <v>3</v>
      </c>
      <c r="F246" s="293" t="s">
        <v>126</v>
      </c>
      <c r="G246" s="294">
        <v>825</v>
      </c>
      <c r="H246" s="292" t="s">
        <v>142</v>
      </c>
      <c r="I246" s="292" t="s">
        <v>1183</v>
      </c>
      <c r="J246" s="293" t="s">
        <v>1184</v>
      </c>
      <c r="K246" s="293" t="s">
        <v>1186</v>
      </c>
      <c r="L246" s="293" t="s">
        <v>1185</v>
      </c>
      <c r="M246" s="293" t="s">
        <v>1186</v>
      </c>
      <c r="N246" s="295">
        <v>1379</v>
      </c>
      <c r="O246" s="296" t="s">
        <v>673</v>
      </c>
      <c r="P246" s="295">
        <v>0</v>
      </c>
      <c r="Q246" s="295">
        <v>0</v>
      </c>
      <c r="R246" s="295">
        <v>0</v>
      </c>
      <c r="S246" s="295">
        <v>1432</v>
      </c>
      <c r="T246" s="295">
        <v>1432</v>
      </c>
      <c r="U246" s="295">
        <v>30</v>
      </c>
      <c r="V246" s="295">
        <v>10</v>
      </c>
      <c r="W246" s="295">
        <v>5.5</v>
      </c>
      <c r="X246" s="295">
        <v>5</v>
      </c>
      <c r="Y246" s="295">
        <v>18</v>
      </c>
      <c r="Z246" s="295">
        <v>15</v>
      </c>
      <c r="AA246" s="295">
        <v>0</v>
      </c>
      <c r="AB246" s="295">
        <v>0</v>
      </c>
      <c r="AC246" s="295">
        <v>0</v>
      </c>
      <c r="AD246" s="295">
        <v>0</v>
      </c>
      <c r="AE246" s="295">
        <v>0</v>
      </c>
      <c r="AF246" s="295">
        <v>0</v>
      </c>
      <c r="AG246" s="295">
        <v>0</v>
      </c>
      <c r="AH246" s="295">
        <v>1515.5</v>
      </c>
      <c r="AI246" s="362"/>
    </row>
    <row r="247" spans="1:35" ht="13.5" customHeight="1">
      <c r="A247" s="291">
        <v>31828</v>
      </c>
      <c r="B247" s="291">
        <v>42604</v>
      </c>
      <c r="C247" s="292" t="s">
        <v>1187</v>
      </c>
      <c r="D247" s="293" t="s">
        <v>171</v>
      </c>
      <c r="E247" s="293" t="str">
        <f t="shared" si="3"/>
        <v>F</v>
      </c>
      <c r="F247" s="293" t="s">
        <v>126</v>
      </c>
      <c r="G247" s="294">
        <v>825</v>
      </c>
      <c r="H247" s="292" t="s">
        <v>97</v>
      </c>
      <c r="I247" s="292" t="s">
        <v>1188</v>
      </c>
      <c r="J247" s="293" t="s">
        <v>506</v>
      </c>
      <c r="K247" s="293"/>
      <c r="L247" s="293" t="s">
        <v>506</v>
      </c>
      <c r="M247" s="293" t="s">
        <v>1189</v>
      </c>
      <c r="N247" s="295">
        <v>1279</v>
      </c>
      <c r="O247" s="296" t="s">
        <v>673</v>
      </c>
      <c r="P247" s="295">
        <v>0</v>
      </c>
      <c r="Q247" s="295">
        <v>0</v>
      </c>
      <c r="R247" s="295">
        <v>0</v>
      </c>
      <c r="S247" s="295">
        <v>1334</v>
      </c>
      <c r="T247" s="295">
        <v>1334</v>
      </c>
      <c r="U247" s="295">
        <v>30</v>
      </c>
      <c r="V247" s="295">
        <v>10</v>
      </c>
      <c r="W247" s="295">
        <v>5.5</v>
      </c>
      <c r="X247" s="295">
        <v>5</v>
      </c>
      <c r="Y247" s="295">
        <v>0</v>
      </c>
      <c r="Z247" s="295">
        <v>15</v>
      </c>
      <c r="AA247" s="295">
        <v>0</v>
      </c>
      <c r="AB247" s="295">
        <v>35</v>
      </c>
      <c r="AC247" s="295">
        <v>0</v>
      </c>
      <c r="AD247" s="295">
        <v>0</v>
      </c>
      <c r="AE247" s="295">
        <v>0</v>
      </c>
      <c r="AF247" s="295">
        <v>0</v>
      </c>
      <c r="AG247" s="295">
        <v>0</v>
      </c>
      <c r="AH247" s="295">
        <v>1434.5</v>
      </c>
      <c r="AI247" s="362"/>
    </row>
    <row r="248" spans="1:35" ht="13.5" customHeight="1">
      <c r="A248" s="291">
        <v>11366</v>
      </c>
      <c r="B248" s="291">
        <v>43172</v>
      </c>
      <c r="C248" s="292" t="s">
        <v>1190</v>
      </c>
      <c r="D248" s="293" t="s">
        <v>160</v>
      </c>
      <c r="E248" s="293" t="str">
        <f t="shared" si="3"/>
        <v>Q</v>
      </c>
      <c r="F248" s="293" t="s">
        <v>126</v>
      </c>
      <c r="G248" s="294">
        <v>1010</v>
      </c>
      <c r="H248" s="292" t="s">
        <v>97</v>
      </c>
      <c r="I248" s="292" t="s">
        <v>1191</v>
      </c>
      <c r="J248" s="293" t="s">
        <v>287</v>
      </c>
      <c r="K248" s="293"/>
      <c r="L248" s="293" t="s">
        <v>2137</v>
      </c>
      <c r="M248" s="293" t="s">
        <v>2098</v>
      </c>
      <c r="N248" s="295">
        <v>1549</v>
      </c>
      <c r="O248" s="296" t="s">
        <v>673</v>
      </c>
      <c r="P248" s="295">
        <v>0</v>
      </c>
      <c r="Q248" s="295">
        <v>0</v>
      </c>
      <c r="R248" s="295">
        <v>0</v>
      </c>
      <c r="S248" s="295">
        <v>1548</v>
      </c>
      <c r="T248" s="295">
        <v>1548</v>
      </c>
      <c r="U248" s="295">
        <v>30</v>
      </c>
      <c r="V248" s="295">
        <v>10</v>
      </c>
      <c r="W248" s="295">
        <v>5.5</v>
      </c>
      <c r="X248" s="295">
        <v>5</v>
      </c>
      <c r="Y248" s="295">
        <v>18</v>
      </c>
      <c r="Z248" s="295">
        <v>0</v>
      </c>
      <c r="AA248" s="295">
        <v>0</v>
      </c>
      <c r="AB248" s="295">
        <v>0</v>
      </c>
      <c r="AC248" s="295">
        <v>0</v>
      </c>
      <c r="AD248" s="295">
        <v>0</v>
      </c>
      <c r="AE248" s="295">
        <v>0</v>
      </c>
      <c r="AF248" s="295">
        <v>0</v>
      </c>
      <c r="AG248" s="295">
        <v>0</v>
      </c>
      <c r="AH248" s="295">
        <v>1616.5</v>
      </c>
      <c r="AI248" s="362"/>
    </row>
    <row r="249" spans="1:35" ht="13.5" customHeight="1">
      <c r="A249" s="291">
        <v>31893</v>
      </c>
      <c r="B249" s="291">
        <v>42745</v>
      </c>
      <c r="C249" s="292" t="s">
        <v>1192</v>
      </c>
      <c r="D249" s="293" t="s">
        <v>160</v>
      </c>
      <c r="E249" s="293" t="str">
        <f t="shared" si="3"/>
        <v>Q</v>
      </c>
      <c r="F249" s="293" t="s">
        <v>126</v>
      </c>
      <c r="G249" s="294">
        <v>1010</v>
      </c>
      <c r="H249" s="292" t="s">
        <v>97</v>
      </c>
      <c r="I249" s="292" t="s">
        <v>1193</v>
      </c>
      <c r="J249" s="293" t="s">
        <v>493</v>
      </c>
      <c r="K249" s="293"/>
      <c r="L249" s="293" t="s">
        <v>493</v>
      </c>
      <c r="M249" s="293" t="s">
        <v>501</v>
      </c>
      <c r="N249" s="295">
        <v>1549</v>
      </c>
      <c r="O249" s="296" t="s">
        <v>673</v>
      </c>
      <c r="P249" s="295">
        <v>0</v>
      </c>
      <c r="Q249" s="295">
        <v>0</v>
      </c>
      <c r="R249" s="295">
        <v>2321.67</v>
      </c>
      <c r="S249" s="295">
        <v>1579</v>
      </c>
      <c r="T249" s="295">
        <v>1579</v>
      </c>
      <c r="U249" s="295">
        <v>30</v>
      </c>
      <c r="V249" s="295">
        <v>10</v>
      </c>
      <c r="W249" s="295">
        <v>5.5</v>
      </c>
      <c r="X249" s="295">
        <v>5</v>
      </c>
      <c r="Y249" s="295">
        <v>18</v>
      </c>
      <c r="Z249" s="295">
        <v>0</v>
      </c>
      <c r="AA249" s="295">
        <v>0</v>
      </c>
      <c r="AB249" s="295">
        <v>0</v>
      </c>
      <c r="AC249" s="295">
        <v>0</v>
      </c>
      <c r="AD249" s="295">
        <v>0</v>
      </c>
      <c r="AE249" s="295">
        <v>0</v>
      </c>
      <c r="AF249" s="295">
        <v>0</v>
      </c>
      <c r="AG249" s="295">
        <v>0</v>
      </c>
      <c r="AH249" s="295">
        <v>1647.5</v>
      </c>
      <c r="AI249" s="362"/>
    </row>
    <row r="250" spans="1:35" ht="13.5" customHeight="1">
      <c r="A250" s="291">
        <v>11088</v>
      </c>
      <c r="B250" s="291">
        <v>43036</v>
      </c>
      <c r="C250" s="292" t="s">
        <v>1194</v>
      </c>
      <c r="D250" s="293" t="s">
        <v>163</v>
      </c>
      <c r="E250" s="293" t="str">
        <f t="shared" si="3"/>
        <v>F</v>
      </c>
      <c r="F250" s="293" t="s">
        <v>126</v>
      </c>
      <c r="G250" s="294">
        <v>1010</v>
      </c>
      <c r="H250" s="292" t="s">
        <v>97</v>
      </c>
      <c r="I250" s="292" t="s">
        <v>1386</v>
      </c>
      <c r="J250" s="293" t="s">
        <v>438</v>
      </c>
      <c r="K250" s="293"/>
      <c r="L250" s="293" t="s">
        <v>438</v>
      </c>
      <c r="M250" s="293" t="s">
        <v>1998</v>
      </c>
      <c r="N250" s="295">
        <v>1429</v>
      </c>
      <c r="O250" s="296" t="s">
        <v>673</v>
      </c>
      <c r="P250" s="295">
        <v>0</v>
      </c>
      <c r="Q250" s="295">
        <v>0</v>
      </c>
      <c r="R250" s="295">
        <v>0</v>
      </c>
      <c r="S250" s="295">
        <v>1359</v>
      </c>
      <c r="T250" s="295">
        <v>1359</v>
      </c>
      <c r="U250" s="295">
        <v>30</v>
      </c>
      <c r="V250" s="295">
        <v>10</v>
      </c>
      <c r="W250" s="295">
        <v>5.5</v>
      </c>
      <c r="X250" s="295">
        <v>5</v>
      </c>
      <c r="Y250" s="295">
        <v>18</v>
      </c>
      <c r="Z250" s="295">
        <v>15</v>
      </c>
      <c r="AA250" s="295">
        <v>0</v>
      </c>
      <c r="AB250" s="295">
        <v>0</v>
      </c>
      <c r="AC250" s="295">
        <v>0</v>
      </c>
      <c r="AD250" s="295">
        <v>0</v>
      </c>
      <c r="AE250" s="295">
        <v>0</v>
      </c>
      <c r="AF250" s="295">
        <v>0</v>
      </c>
      <c r="AG250" s="295">
        <v>0</v>
      </c>
      <c r="AH250" s="295">
        <v>1442.5</v>
      </c>
      <c r="AI250" s="362"/>
    </row>
    <row r="251" spans="1:35" ht="13.5" customHeight="1">
      <c r="A251" s="291">
        <v>31773</v>
      </c>
      <c r="B251" s="291">
        <v>43081</v>
      </c>
      <c r="C251" s="292" t="s">
        <v>1195</v>
      </c>
      <c r="D251" s="293" t="s">
        <v>160</v>
      </c>
      <c r="E251" s="293" t="str">
        <f t="shared" si="3"/>
        <v>Q</v>
      </c>
      <c r="F251" s="293" t="s">
        <v>126</v>
      </c>
      <c r="G251" s="294">
        <v>1010</v>
      </c>
      <c r="H251" s="292" t="s">
        <v>97</v>
      </c>
      <c r="I251" s="292" t="s">
        <v>1196</v>
      </c>
      <c r="J251" s="293" t="s">
        <v>479</v>
      </c>
      <c r="K251" s="293"/>
      <c r="L251" s="293" t="s">
        <v>2072</v>
      </c>
      <c r="M251" s="293" t="s">
        <v>2120</v>
      </c>
      <c r="N251" s="295">
        <v>1549</v>
      </c>
      <c r="O251" s="296" t="s">
        <v>673</v>
      </c>
      <c r="P251" s="295">
        <v>0</v>
      </c>
      <c r="Q251" s="295">
        <v>0</v>
      </c>
      <c r="R251" s="295">
        <v>-2629.81</v>
      </c>
      <c r="S251" s="295">
        <v>1559</v>
      </c>
      <c r="T251" s="295">
        <v>1559</v>
      </c>
      <c r="U251" s="295">
        <v>30</v>
      </c>
      <c r="V251" s="295">
        <v>10</v>
      </c>
      <c r="W251" s="295">
        <v>5.5</v>
      </c>
      <c r="X251" s="295">
        <v>5</v>
      </c>
      <c r="Y251" s="295">
        <v>18</v>
      </c>
      <c r="Z251" s="295">
        <v>0</v>
      </c>
      <c r="AA251" s="295">
        <v>0</v>
      </c>
      <c r="AB251" s="295">
        <v>35</v>
      </c>
      <c r="AC251" s="295">
        <v>0</v>
      </c>
      <c r="AD251" s="295">
        <v>0</v>
      </c>
      <c r="AE251" s="295">
        <v>0</v>
      </c>
      <c r="AF251" s="295">
        <v>0</v>
      </c>
      <c r="AG251" s="295">
        <v>0</v>
      </c>
      <c r="AH251" s="295">
        <v>1662.5</v>
      </c>
      <c r="AI251" s="362"/>
    </row>
    <row r="252" spans="1:35" ht="13.5" customHeight="1">
      <c r="A252" s="291">
        <v>31850</v>
      </c>
      <c r="B252" s="291">
        <v>42658</v>
      </c>
      <c r="C252" s="292" t="s">
        <v>1197</v>
      </c>
      <c r="D252" s="293" t="s">
        <v>167</v>
      </c>
      <c r="E252" s="293" t="str">
        <f t="shared" si="3"/>
        <v>Q</v>
      </c>
      <c r="F252" s="293" t="s">
        <v>126</v>
      </c>
      <c r="G252" s="294">
        <v>700</v>
      </c>
      <c r="H252" s="292" t="s">
        <v>97</v>
      </c>
      <c r="I252" s="292" t="s">
        <v>1198</v>
      </c>
      <c r="J252" s="293" t="s">
        <v>383</v>
      </c>
      <c r="K252" s="293"/>
      <c r="L252" s="293" t="s">
        <v>383</v>
      </c>
      <c r="M252" s="293" t="s">
        <v>477</v>
      </c>
      <c r="N252" s="295">
        <v>1329</v>
      </c>
      <c r="O252" s="296" t="s">
        <v>673</v>
      </c>
      <c r="P252" s="295">
        <v>0</v>
      </c>
      <c r="Q252" s="295">
        <v>0</v>
      </c>
      <c r="R252" s="295">
        <v>0</v>
      </c>
      <c r="S252" s="295">
        <v>1359</v>
      </c>
      <c r="T252" s="295">
        <v>1359</v>
      </c>
      <c r="U252" s="295">
        <v>30</v>
      </c>
      <c r="V252" s="295">
        <v>10</v>
      </c>
      <c r="W252" s="295">
        <v>5.5</v>
      </c>
      <c r="X252" s="295">
        <v>5</v>
      </c>
      <c r="Y252" s="295">
        <v>0</v>
      </c>
      <c r="Z252" s="295">
        <v>15</v>
      </c>
      <c r="AA252" s="295">
        <v>0</v>
      </c>
      <c r="AB252" s="295">
        <v>0</v>
      </c>
      <c r="AC252" s="295">
        <v>0</v>
      </c>
      <c r="AD252" s="295">
        <v>0</v>
      </c>
      <c r="AE252" s="295">
        <v>0</v>
      </c>
      <c r="AF252" s="295">
        <v>0</v>
      </c>
      <c r="AG252" s="295">
        <v>0</v>
      </c>
      <c r="AH252" s="295">
        <v>1424.5</v>
      </c>
      <c r="AI252" s="362"/>
    </row>
    <row r="253" spans="1:35" ht="13.5" customHeight="1">
      <c r="A253" s="291">
        <v>602</v>
      </c>
      <c r="B253" s="291">
        <v>43050</v>
      </c>
      <c r="C253" s="292" t="s">
        <v>1199</v>
      </c>
      <c r="D253" s="293" t="s">
        <v>167</v>
      </c>
      <c r="E253" s="293" t="str">
        <f t="shared" si="3"/>
        <v>Q</v>
      </c>
      <c r="F253" s="293" t="s">
        <v>126</v>
      </c>
      <c r="G253" s="294">
        <v>700</v>
      </c>
      <c r="H253" s="292" t="s">
        <v>97</v>
      </c>
      <c r="I253" s="292" t="s">
        <v>1200</v>
      </c>
      <c r="J253" s="293" t="s">
        <v>1201</v>
      </c>
      <c r="K253" s="293"/>
      <c r="L253" s="293" t="s">
        <v>470</v>
      </c>
      <c r="M253" s="293" t="s">
        <v>2086</v>
      </c>
      <c r="N253" s="295">
        <v>1329</v>
      </c>
      <c r="O253" s="296" t="s">
        <v>673</v>
      </c>
      <c r="P253" s="295">
        <v>0</v>
      </c>
      <c r="Q253" s="295">
        <v>0</v>
      </c>
      <c r="R253" s="295">
        <v>0</v>
      </c>
      <c r="S253" s="295">
        <v>1339</v>
      </c>
      <c r="T253" s="295">
        <v>1339</v>
      </c>
      <c r="U253" s="295">
        <v>30</v>
      </c>
      <c r="V253" s="295">
        <v>10</v>
      </c>
      <c r="W253" s="295">
        <v>5.5</v>
      </c>
      <c r="X253" s="295">
        <v>5</v>
      </c>
      <c r="Y253" s="295">
        <v>18</v>
      </c>
      <c r="Z253" s="295">
        <v>0</v>
      </c>
      <c r="AA253" s="295">
        <v>0</v>
      </c>
      <c r="AB253" s="295">
        <v>0</v>
      </c>
      <c r="AC253" s="295">
        <v>0</v>
      </c>
      <c r="AD253" s="295">
        <v>0</v>
      </c>
      <c r="AE253" s="295">
        <v>0</v>
      </c>
      <c r="AF253" s="295">
        <v>0</v>
      </c>
      <c r="AG253" s="295">
        <v>0</v>
      </c>
      <c r="AH253" s="295">
        <v>1407.5</v>
      </c>
      <c r="AI253" s="362"/>
    </row>
    <row r="254" spans="1:35" ht="13.5" customHeight="1">
      <c r="A254" s="291">
        <v>32148</v>
      </c>
      <c r="B254" s="291">
        <v>43238</v>
      </c>
      <c r="C254" s="292" t="s">
        <v>1202</v>
      </c>
      <c r="D254" s="293" t="s">
        <v>164</v>
      </c>
      <c r="E254" s="293" t="str">
        <f t="shared" si="3"/>
        <v>F</v>
      </c>
      <c r="F254" s="293" t="s">
        <v>126</v>
      </c>
      <c r="G254" s="294">
        <v>700</v>
      </c>
      <c r="H254" s="292" t="s">
        <v>97</v>
      </c>
      <c r="I254" s="292" t="s">
        <v>2144</v>
      </c>
      <c r="J254" s="293" t="s">
        <v>491</v>
      </c>
      <c r="K254" s="293"/>
      <c r="L254" s="293" t="s">
        <v>491</v>
      </c>
      <c r="M254" s="293" t="s">
        <v>2117</v>
      </c>
      <c r="N254" s="295">
        <v>1189</v>
      </c>
      <c r="O254" s="296" t="s">
        <v>673</v>
      </c>
      <c r="P254" s="295">
        <v>0</v>
      </c>
      <c r="Q254" s="295">
        <v>0</v>
      </c>
      <c r="R254" s="295">
        <v>-3.48</v>
      </c>
      <c r="S254" s="295">
        <v>1189</v>
      </c>
      <c r="T254" s="295">
        <v>1189</v>
      </c>
      <c r="U254" s="295">
        <v>30</v>
      </c>
      <c r="V254" s="295">
        <v>10</v>
      </c>
      <c r="W254" s="295">
        <v>5.5</v>
      </c>
      <c r="X254" s="295">
        <v>5</v>
      </c>
      <c r="Y254" s="295">
        <v>18</v>
      </c>
      <c r="Z254" s="295">
        <v>0</v>
      </c>
      <c r="AA254" s="295">
        <v>70</v>
      </c>
      <c r="AB254" s="295">
        <v>0</v>
      </c>
      <c r="AC254" s="295">
        <v>0</v>
      </c>
      <c r="AD254" s="295">
        <v>0</v>
      </c>
      <c r="AE254" s="295">
        <v>0</v>
      </c>
      <c r="AF254" s="295">
        <v>0</v>
      </c>
      <c r="AG254" s="295">
        <v>0</v>
      </c>
      <c r="AH254" s="295">
        <v>1327.5</v>
      </c>
      <c r="AI254" s="362"/>
    </row>
    <row r="255" spans="1:35" ht="13.5" customHeight="1">
      <c r="A255" s="291">
        <v>694</v>
      </c>
      <c r="B255" s="291">
        <v>43210</v>
      </c>
      <c r="C255" s="292" t="s">
        <v>1203</v>
      </c>
      <c r="D255" s="293" t="s">
        <v>281</v>
      </c>
      <c r="E255" s="293" t="str">
        <f t="shared" si="3"/>
        <v>G</v>
      </c>
      <c r="F255" s="293" t="s">
        <v>126</v>
      </c>
      <c r="G255" s="294">
        <v>700</v>
      </c>
      <c r="H255" s="292" t="s">
        <v>97</v>
      </c>
      <c r="I255" s="292" t="s">
        <v>1204</v>
      </c>
      <c r="J255" s="293" t="s">
        <v>1205</v>
      </c>
      <c r="K255" s="293"/>
      <c r="L255" s="293" t="s">
        <v>2145</v>
      </c>
      <c r="M255" s="293" t="s">
        <v>2114</v>
      </c>
      <c r="N255" s="295">
        <v>1289</v>
      </c>
      <c r="O255" s="296" t="s">
        <v>673</v>
      </c>
      <c r="P255" s="295">
        <v>0</v>
      </c>
      <c r="Q255" s="295">
        <v>0</v>
      </c>
      <c r="R255" s="295">
        <v>0</v>
      </c>
      <c r="S255" s="295">
        <v>1500</v>
      </c>
      <c r="T255" s="295">
        <v>1500</v>
      </c>
      <c r="U255" s="295">
        <v>30</v>
      </c>
      <c r="V255" s="295">
        <v>10</v>
      </c>
      <c r="W255" s="295">
        <v>5.5</v>
      </c>
      <c r="X255" s="295">
        <v>5</v>
      </c>
      <c r="Y255" s="295">
        <v>18</v>
      </c>
      <c r="Z255" s="295">
        <v>15</v>
      </c>
      <c r="AA255" s="295">
        <v>0</v>
      </c>
      <c r="AB255" s="295">
        <v>35</v>
      </c>
      <c r="AC255" s="295">
        <v>0</v>
      </c>
      <c r="AD255" s="295">
        <v>0</v>
      </c>
      <c r="AE255" s="295">
        <v>0</v>
      </c>
      <c r="AF255" s="295">
        <v>0</v>
      </c>
      <c r="AG255" s="295">
        <v>0</v>
      </c>
      <c r="AH255" s="295">
        <v>1618.5</v>
      </c>
      <c r="AI255" s="362"/>
    </row>
    <row r="256" spans="1:35" ht="13.5" customHeight="1">
      <c r="A256" s="291">
        <v>10884</v>
      </c>
      <c r="B256" s="291">
        <v>43022</v>
      </c>
      <c r="C256" s="292" t="s">
        <v>1206</v>
      </c>
      <c r="D256" s="293" t="s">
        <v>167</v>
      </c>
      <c r="E256" s="293" t="str">
        <f t="shared" si="3"/>
        <v>Q</v>
      </c>
      <c r="F256" s="293" t="s">
        <v>126</v>
      </c>
      <c r="G256" s="294">
        <v>700</v>
      </c>
      <c r="H256" s="292" t="s">
        <v>97</v>
      </c>
      <c r="I256" s="292" t="s">
        <v>1207</v>
      </c>
      <c r="J256" s="293" t="s">
        <v>1208</v>
      </c>
      <c r="K256" s="293"/>
      <c r="L256" s="293" t="s">
        <v>1928</v>
      </c>
      <c r="M256" s="293" t="s">
        <v>1999</v>
      </c>
      <c r="N256" s="295">
        <v>1329</v>
      </c>
      <c r="O256" s="296" t="s">
        <v>673</v>
      </c>
      <c r="P256" s="295">
        <v>0</v>
      </c>
      <c r="Q256" s="295">
        <v>0</v>
      </c>
      <c r="R256" s="295">
        <v>0</v>
      </c>
      <c r="S256" s="295">
        <v>1428</v>
      </c>
      <c r="T256" s="295">
        <v>1428</v>
      </c>
      <c r="U256" s="295">
        <v>30</v>
      </c>
      <c r="V256" s="295">
        <v>10</v>
      </c>
      <c r="W256" s="295">
        <v>5.5</v>
      </c>
      <c r="X256" s="295">
        <v>5</v>
      </c>
      <c r="Y256" s="295">
        <v>18</v>
      </c>
      <c r="Z256" s="295">
        <v>15</v>
      </c>
      <c r="AA256" s="295">
        <v>0</v>
      </c>
      <c r="AB256" s="295">
        <v>0</v>
      </c>
      <c r="AC256" s="295">
        <v>75</v>
      </c>
      <c r="AD256" s="295">
        <v>0</v>
      </c>
      <c r="AE256" s="295">
        <v>0</v>
      </c>
      <c r="AF256" s="295">
        <v>0</v>
      </c>
      <c r="AG256" s="295">
        <v>0</v>
      </c>
      <c r="AH256" s="295">
        <v>1586.5</v>
      </c>
      <c r="AI256" s="362"/>
    </row>
    <row r="257" spans="1:35" ht="13.5" customHeight="1">
      <c r="A257" s="291">
        <v>32133</v>
      </c>
      <c r="B257" s="291">
        <v>43201</v>
      </c>
      <c r="C257" s="292" t="s">
        <v>1209</v>
      </c>
      <c r="D257" s="293" t="s">
        <v>167</v>
      </c>
      <c r="E257" s="293" t="str">
        <f t="shared" si="3"/>
        <v>Q</v>
      </c>
      <c r="F257" s="293" t="s">
        <v>126</v>
      </c>
      <c r="G257" s="294">
        <v>700</v>
      </c>
      <c r="H257" s="292" t="s">
        <v>97</v>
      </c>
      <c r="I257" s="292" t="s">
        <v>2146</v>
      </c>
      <c r="J257" s="293" t="s">
        <v>717</v>
      </c>
      <c r="K257" s="293"/>
      <c r="L257" s="293" t="s">
        <v>717</v>
      </c>
      <c r="M257" s="293" t="s">
        <v>2147</v>
      </c>
      <c r="N257" s="295">
        <v>1329</v>
      </c>
      <c r="O257" s="296" t="s">
        <v>673</v>
      </c>
      <c r="P257" s="295">
        <v>0</v>
      </c>
      <c r="Q257" s="295">
        <v>0</v>
      </c>
      <c r="R257" s="295">
        <v>-1522.5</v>
      </c>
      <c r="S257" s="295">
        <v>1299</v>
      </c>
      <c r="T257" s="295">
        <v>1299</v>
      </c>
      <c r="U257" s="295">
        <v>30</v>
      </c>
      <c r="V257" s="295">
        <v>10</v>
      </c>
      <c r="W257" s="295">
        <v>5.5</v>
      </c>
      <c r="X257" s="295">
        <v>5</v>
      </c>
      <c r="Y257" s="295">
        <v>18</v>
      </c>
      <c r="Z257" s="295">
        <v>15</v>
      </c>
      <c r="AA257" s="295">
        <v>70</v>
      </c>
      <c r="AB257" s="295">
        <v>70</v>
      </c>
      <c r="AC257" s="295">
        <v>0</v>
      </c>
      <c r="AD257" s="295">
        <v>0</v>
      </c>
      <c r="AE257" s="295">
        <v>-2598</v>
      </c>
      <c r="AF257" s="295">
        <v>0</v>
      </c>
      <c r="AG257" s="295">
        <v>0</v>
      </c>
      <c r="AH257" s="295">
        <v>-1075.5</v>
      </c>
      <c r="AI257" s="362"/>
    </row>
    <row r="258" spans="1:35" ht="13.5" customHeight="1">
      <c r="A258" s="291">
        <v>125</v>
      </c>
      <c r="B258" s="291">
        <v>43046</v>
      </c>
      <c r="C258" s="292" t="s">
        <v>1210</v>
      </c>
      <c r="D258" s="293" t="s">
        <v>166</v>
      </c>
      <c r="E258" s="293" t="str">
        <f t="shared" si="3"/>
        <v>2</v>
      </c>
      <c r="F258" s="293" t="s">
        <v>126</v>
      </c>
      <c r="G258" s="294">
        <v>700</v>
      </c>
      <c r="H258" s="292" t="s">
        <v>97</v>
      </c>
      <c r="I258" s="292" t="s">
        <v>1211</v>
      </c>
      <c r="J258" s="293" t="s">
        <v>1212</v>
      </c>
      <c r="K258" s="293"/>
      <c r="L258" s="293" t="s">
        <v>470</v>
      </c>
      <c r="M258" s="293" t="s">
        <v>2086</v>
      </c>
      <c r="N258" s="295">
        <v>1289</v>
      </c>
      <c r="O258" s="296" t="s">
        <v>673</v>
      </c>
      <c r="P258" s="295">
        <v>250</v>
      </c>
      <c r="Q258" s="295">
        <v>250</v>
      </c>
      <c r="R258" s="295">
        <v>0</v>
      </c>
      <c r="S258" s="295">
        <v>1376</v>
      </c>
      <c r="T258" s="295">
        <v>1376</v>
      </c>
      <c r="U258" s="295">
        <v>30</v>
      </c>
      <c r="V258" s="295">
        <v>10</v>
      </c>
      <c r="W258" s="295">
        <v>5.5</v>
      </c>
      <c r="X258" s="295">
        <v>5</v>
      </c>
      <c r="Y258" s="295">
        <v>18</v>
      </c>
      <c r="Z258" s="295">
        <v>15</v>
      </c>
      <c r="AA258" s="295">
        <v>0</v>
      </c>
      <c r="AB258" s="295">
        <v>0</v>
      </c>
      <c r="AC258" s="295">
        <v>0</v>
      </c>
      <c r="AD258" s="295">
        <v>0</v>
      </c>
      <c r="AE258" s="295">
        <v>0</v>
      </c>
      <c r="AF258" s="295">
        <v>0</v>
      </c>
      <c r="AG258" s="295">
        <v>0</v>
      </c>
      <c r="AH258" s="295">
        <v>1459.5</v>
      </c>
      <c r="AI258" s="362"/>
    </row>
    <row r="259" spans="1:35" ht="13.5" customHeight="1">
      <c r="A259" s="291">
        <v>32108</v>
      </c>
      <c r="B259" s="291">
        <v>43149</v>
      </c>
      <c r="C259" s="292" t="s">
        <v>1213</v>
      </c>
      <c r="D259" s="293" t="s">
        <v>167</v>
      </c>
      <c r="E259" s="293" t="str">
        <f t="shared" si="3"/>
        <v>Q</v>
      </c>
      <c r="F259" s="293" t="s">
        <v>126</v>
      </c>
      <c r="G259" s="294">
        <v>700</v>
      </c>
      <c r="H259" s="292" t="s">
        <v>97</v>
      </c>
      <c r="I259" s="292" t="s">
        <v>2148</v>
      </c>
      <c r="J259" s="293" t="s">
        <v>482</v>
      </c>
      <c r="K259" s="293"/>
      <c r="L259" s="293" t="s">
        <v>482</v>
      </c>
      <c r="M259" s="293" t="s">
        <v>1944</v>
      </c>
      <c r="N259" s="295">
        <v>1299</v>
      </c>
      <c r="O259" s="296" t="s">
        <v>673</v>
      </c>
      <c r="P259" s="295">
        <v>0</v>
      </c>
      <c r="Q259" s="295">
        <v>0</v>
      </c>
      <c r="R259" s="295">
        <v>0</v>
      </c>
      <c r="S259" s="295">
        <v>1259</v>
      </c>
      <c r="T259" s="295">
        <v>1259</v>
      </c>
      <c r="U259" s="295">
        <v>30</v>
      </c>
      <c r="V259" s="295">
        <v>10</v>
      </c>
      <c r="W259" s="295">
        <v>5.5</v>
      </c>
      <c r="X259" s="295">
        <v>5</v>
      </c>
      <c r="Y259" s="295">
        <v>18</v>
      </c>
      <c r="Z259" s="295">
        <v>0</v>
      </c>
      <c r="AA259" s="295">
        <v>0</v>
      </c>
      <c r="AB259" s="295">
        <v>0</v>
      </c>
      <c r="AC259" s="295">
        <v>0</v>
      </c>
      <c r="AD259" s="295">
        <v>0</v>
      </c>
      <c r="AE259" s="295">
        <v>0</v>
      </c>
      <c r="AF259" s="295">
        <v>0</v>
      </c>
      <c r="AG259" s="295">
        <v>0</v>
      </c>
      <c r="AH259" s="295">
        <v>1327.5</v>
      </c>
      <c r="AI259" s="362"/>
    </row>
    <row r="260" spans="1:35" ht="13.5" customHeight="1">
      <c r="A260" s="291">
        <v>32052</v>
      </c>
      <c r="B260" s="291">
        <v>43062</v>
      </c>
      <c r="C260" s="292" t="s">
        <v>1214</v>
      </c>
      <c r="D260" s="293" t="s">
        <v>147</v>
      </c>
      <c r="E260" s="293" t="str">
        <f t="shared" si="3"/>
        <v>Q</v>
      </c>
      <c r="F260" s="293" t="s">
        <v>126</v>
      </c>
      <c r="G260" s="294">
        <v>1076</v>
      </c>
      <c r="H260" s="292" t="s">
        <v>97</v>
      </c>
      <c r="I260" s="292" t="s">
        <v>2149</v>
      </c>
      <c r="J260" s="293" t="s">
        <v>2000</v>
      </c>
      <c r="K260" s="293"/>
      <c r="L260" s="293" t="s">
        <v>2000</v>
      </c>
      <c r="M260" s="293" t="s">
        <v>2122</v>
      </c>
      <c r="N260" s="295">
        <v>1659</v>
      </c>
      <c r="O260" s="296" t="s">
        <v>673</v>
      </c>
      <c r="P260" s="295">
        <v>0</v>
      </c>
      <c r="Q260" s="295">
        <v>0</v>
      </c>
      <c r="R260" s="295">
        <v>0</v>
      </c>
      <c r="S260" s="295">
        <v>1589</v>
      </c>
      <c r="T260" s="295">
        <v>1589</v>
      </c>
      <c r="U260" s="295">
        <v>30</v>
      </c>
      <c r="V260" s="295">
        <v>10</v>
      </c>
      <c r="W260" s="295">
        <v>5.5</v>
      </c>
      <c r="X260" s="295">
        <v>5</v>
      </c>
      <c r="Y260" s="295">
        <v>18</v>
      </c>
      <c r="Z260" s="295">
        <v>15</v>
      </c>
      <c r="AA260" s="295">
        <v>70</v>
      </c>
      <c r="AB260" s="295">
        <v>35</v>
      </c>
      <c r="AC260" s="295">
        <v>0</v>
      </c>
      <c r="AD260" s="295">
        <v>0</v>
      </c>
      <c r="AE260" s="295">
        <v>0</v>
      </c>
      <c r="AF260" s="295">
        <v>0</v>
      </c>
      <c r="AG260" s="295">
        <v>0</v>
      </c>
      <c r="AH260" s="295">
        <v>1777.5</v>
      </c>
      <c r="AI260" s="362"/>
    </row>
    <row r="261" spans="1:35" ht="13.5" customHeight="1">
      <c r="A261" s="291">
        <v>31883</v>
      </c>
      <c r="B261" s="291">
        <v>42718</v>
      </c>
      <c r="C261" s="292" t="s">
        <v>1215</v>
      </c>
      <c r="D261" s="293" t="s">
        <v>147</v>
      </c>
      <c r="E261" s="293" t="str">
        <f t="shared" si="3"/>
        <v>Q</v>
      </c>
      <c r="F261" s="293" t="s">
        <v>126</v>
      </c>
      <c r="G261" s="294">
        <v>1076</v>
      </c>
      <c r="H261" s="292" t="s">
        <v>97</v>
      </c>
      <c r="I261" s="292" t="s">
        <v>1216</v>
      </c>
      <c r="J261" s="293" t="s">
        <v>380</v>
      </c>
      <c r="K261" s="293"/>
      <c r="L261" s="293" t="s">
        <v>380</v>
      </c>
      <c r="M261" s="293" t="s">
        <v>501</v>
      </c>
      <c r="N261" s="295">
        <v>1659</v>
      </c>
      <c r="O261" s="296" t="s">
        <v>673</v>
      </c>
      <c r="P261" s="295">
        <v>0</v>
      </c>
      <c r="Q261" s="295">
        <v>0</v>
      </c>
      <c r="R261" s="295">
        <v>0</v>
      </c>
      <c r="S261" s="295">
        <v>1689</v>
      </c>
      <c r="T261" s="295">
        <v>1689</v>
      </c>
      <c r="U261" s="295">
        <v>30</v>
      </c>
      <c r="V261" s="295">
        <v>10</v>
      </c>
      <c r="W261" s="295">
        <v>5.5</v>
      </c>
      <c r="X261" s="295">
        <v>5</v>
      </c>
      <c r="Y261" s="295">
        <v>18</v>
      </c>
      <c r="Z261" s="295">
        <v>15</v>
      </c>
      <c r="AA261" s="295">
        <v>70</v>
      </c>
      <c r="AB261" s="295">
        <v>0</v>
      </c>
      <c r="AC261" s="295">
        <v>0</v>
      </c>
      <c r="AD261" s="295">
        <v>0</v>
      </c>
      <c r="AE261" s="295">
        <v>0</v>
      </c>
      <c r="AF261" s="295">
        <v>0</v>
      </c>
      <c r="AG261" s="295">
        <v>0</v>
      </c>
      <c r="AH261" s="295">
        <v>1842.5</v>
      </c>
      <c r="AI261" s="362"/>
    </row>
    <row r="262" spans="1:35" ht="13.5" customHeight="1">
      <c r="A262" s="291">
        <v>31839</v>
      </c>
      <c r="B262" s="291">
        <v>42626</v>
      </c>
      <c r="C262" s="292" t="s">
        <v>1217</v>
      </c>
      <c r="D262" s="293" t="s">
        <v>153</v>
      </c>
      <c r="E262" s="293" t="str">
        <f t="shared" si="3"/>
        <v>F</v>
      </c>
      <c r="F262" s="293" t="s">
        <v>126</v>
      </c>
      <c r="G262" s="294">
        <v>1076</v>
      </c>
      <c r="H262" s="292" t="s">
        <v>97</v>
      </c>
      <c r="I262" s="292" t="s">
        <v>1218</v>
      </c>
      <c r="J262" s="293" t="s">
        <v>386</v>
      </c>
      <c r="K262" s="293"/>
      <c r="L262" s="293" t="s">
        <v>386</v>
      </c>
      <c r="M262" s="293" t="s">
        <v>537</v>
      </c>
      <c r="N262" s="295">
        <v>1539</v>
      </c>
      <c r="O262" s="296" t="s">
        <v>673</v>
      </c>
      <c r="P262" s="295">
        <v>0</v>
      </c>
      <c r="Q262" s="295">
        <v>0</v>
      </c>
      <c r="R262" s="295">
        <v>-1753.44</v>
      </c>
      <c r="S262" s="295">
        <v>1569</v>
      </c>
      <c r="T262" s="295">
        <v>1569</v>
      </c>
      <c r="U262" s="295">
        <v>30</v>
      </c>
      <c r="V262" s="295">
        <v>10</v>
      </c>
      <c r="W262" s="295">
        <v>5.5</v>
      </c>
      <c r="X262" s="295">
        <v>5</v>
      </c>
      <c r="Y262" s="295">
        <v>18</v>
      </c>
      <c r="Z262" s="295">
        <v>15</v>
      </c>
      <c r="AA262" s="295">
        <v>0</v>
      </c>
      <c r="AB262" s="295">
        <v>0</v>
      </c>
      <c r="AC262" s="295">
        <v>0</v>
      </c>
      <c r="AD262" s="295">
        <v>0</v>
      </c>
      <c r="AE262" s="295">
        <v>0</v>
      </c>
      <c r="AF262" s="295">
        <v>0</v>
      </c>
      <c r="AG262" s="295">
        <v>0</v>
      </c>
      <c r="AH262" s="295">
        <v>1652.5</v>
      </c>
      <c r="AI262" s="362"/>
    </row>
    <row r="263" spans="1:35" ht="13.5" customHeight="1">
      <c r="A263" s="291">
        <v>31958</v>
      </c>
      <c r="B263" s="291">
        <v>42878</v>
      </c>
      <c r="C263" s="292" t="s">
        <v>1219</v>
      </c>
      <c r="D263" s="293" t="s">
        <v>677</v>
      </c>
      <c r="E263" s="293" t="str">
        <f t="shared" si="3"/>
        <v>G</v>
      </c>
      <c r="F263" s="293" t="s">
        <v>126</v>
      </c>
      <c r="G263" s="294">
        <v>1076</v>
      </c>
      <c r="H263" s="292" t="s">
        <v>97</v>
      </c>
      <c r="I263" s="292" t="s">
        <v>2001</v>
      </c>
      <c r="J263" s="293" t="s">
        <v>449</v>
      </c>
      <c r="K263" s="293"/>
      <c r="L263" s="293" t="s">
        <v>449</v>
      </c>
      <c r="M263" s="293" t="s">
        <v>1840</v>
      </c>
      <c r="N263" s="295">
        <v>1609</v>
      </c>
      <c r="O263" s="296" t="s">
        <v>673</v>
      </c>
      <c r="P263" s="295">
        <v>0</v>
      </c>
      <c r="Q263" s="295">
        <v>0</v>
      </c>
      <c r="R263" s="295">
        <v>0</v>
      </c>
      <c r="S263" s="295">
        <v>1639</v>
      </c>
      <c r="T263" s="295">
        <v>1639</v>
      </c>
      <c r="U263" s="295">
        <v>30</v>
      </c>
      <c r="V263" s="295">
        <v>10</v>
      </c>
      <c r="W263" s="295">
        <v>5.5</v>
      </c>
      <c r="X263" s="295">
        <v>5</v>
      </c>
      <c r="Y263" s="295">
        <v>18</v>
      </c>
      <c r="Z263" s="295">
        <v>15</v>
      </c>
      <c r="AA263" s="295">
        <v>70</v>
      </c>
      <c r="AB263" s="295">
        <v>0</v>
      </c>
      <c r="AC263" s="295">
        <v>0</v>
      </c>
      <c r="AD263" s="295">
        <v>0</v>
      </c>
      <c r="AE263" s="295">
        <v>0</v>
      </c>
      <c r="AF263" s="295">
        <v>0</v>
      </c>
      <c r="AG263" s="295">
        <v>0</v>
      </c>
      <c r="AH263" s="295">
        <v>1792.5</v>
      </c>
      <c r="AI263" s="362"/>
    </row>
    <row r="264" spans="1:35" ht="13.5" customHeight="1">
      <c r="A264" s="291">
        <v>32126</v>
      </c>
      <c r="B264" s="291">
        <v>43188</v>
      </c>
      <c r="C264" s="292" t="s">
        <v>1220</v>
      </c>
      <c r="D264" s="293" t="s">
        <v>677</v>
      </c>
      <c r="E264" s="293" t="str">
        <f t="shared" ref="E264:E327" si="4">RIGHT(D264,1)</f>
        <v>G</v>
      </c>
      <c r="F264" s="293" t="s">
        <v>126</v>
      </c>
      <c r="G264" s="294">
        <v>1076</v>
      </c>
      <c r="H264" s="292" t="s">
        <v>97</v>
      </c>
      <c r="I264" s="292" t="s">
        <v>2150</v>
      </c>
      <c r="J264" s="293" t="s">
        <v>2145</v>
      </c>
      <c r="K264" s="293"/>
      <c r="L264" s="293" t="s">
        <v>2145</v>
      </c>
      <c r="M264" s="293" t="s">
        <v>2151</v>
      </c>
      <c r="N264" s="295">
        <v>1609</v>
      </c>
      <c r="O264" s="296" t="s">
        <v>673</v>
      </c>
      <c r="P264" s="295">
        <v>0</v>
      </c>
      <c r="Q264" s="295">
        <v>0</v>
      </c>
      <c r="R264" s="295">
        <v>-240.37</v>
      </c>
      <c r="S264" s="295">
        <v>1579</v>
      </c>
      <c r="T264" s="295">
        <v>1579</v>
      </c>
      <c r="U264" s="295">
        <v>30</v>
      </c>
      <c r="V264" s="295">
        <v>10</v>
      </c>
      <c r="W264" s="295">
        <v>5.5</v>
      </c>
      <c r="X264" s="295">
        <v>5</v>
      </c>
      <c r="Y264" s="295">
        <v>18</v>
      </c>
      <c r="Z264" s="295">
        <v>15</v>
      </c>
      <c r="AA264" s="295">
        <v>70</v>
      </c>
      <c r="AB264" s="295">
        <v>0</v>
      </c>
      <c r="AC264" s="295">
        <v>0</v>
      </c>
      <c r="AD264" s="295">
        <v>0</v>
      </c>
      <c r="AE264" s="295">
        <v>0</v>
      </c>
      <c r="AF264" s="295">
        <v>0</v>
      </c>
      <c r="AG264" s="295">
        <v>0</v>
      </c>
      <c r="AH264" s="295">
        <v>1732.5</v>
      </c>
      <c r="AI264" s="362"/>
    </row>
    <row r="265" spans="1:35" ht="13.5" customHeight="1">
      <c r="A265" s="291">
        <v>31661</v>
      </c>
      <c r="B265" s="291">
        <v>42899</v>
      </c>
      <c r="C265" s="292" t="s">
        <v>1222</v>
      </c>
      <c r="D265" s="293" t="s">
        <v>147</v>
      </c>
      <c r="E265" s="293" t="str">
        <f t="shared" si="4"/>
        <v>Q</v>
      </c>
      <c r="F265" s="293" t="s">
        <v>126</v>
      </c>
      <c r="G265" s="294">
        <v>1076</v>
      </c>
      <c r="H265" s="292" t="s">
        <v>97</v>
      </c>
      <c r="I265" s="292" t="s">
        <v>972</v>
      </c>
      <c r="J265" s="293" t="s">
        <v>402</v>
      </c>
      <c r="K265" s="293"/>
      <c r="L265" s="293" t="s">
        <v>402</v>
      </c>
      <c r="M265" s="293" t="s">
        <v>1833</v>
      </c>
      <c r="N265" s="295">
        <v>1659</v>
      </c>
      <c r="O265" s="296" t="s">
        <v>673</v>
      </c>
      <c r="P265" s="295">
        <v>0</v>
      </c>
      <c r="Q265" s="295">
        <v>0</v>
      </c>
      <c r="R265" s="295">
        <v>60</v>
      </c>
      <c r="S265" s="295">
        <v>1689</v>
      </c>
      <c r="T265" s="295">
        <v>1689</v>
      </c>
      <c r="U265" s="295">
        <v>30</v>
      </c>
      <c r="V265" s="295">
        <v>10</v>
      </c>
      <c r="W265" s="295">
        <v>5.5</v>
      </c>
      <c r="X265" s="295">
        <v>5</v>
      </c>
      <c r="Y265" s="295">
        <v>18</v>
      </c>
      <c r="Z265" s="295">
        <v>30</v>
      </c>
      <c r="AA265" s="295">
        <v>70</v>
      </c>
      <c r="AB265" s="295">
        <v>0</v>
      </c>
      <c r="AC265" s="295">
        <v>0</v>
      </c>
      <c r="AD265" s="295">
        <v>0</v>
      </c>
      <c r="AE265" s="295">
        <v>0</v>
      </c>
      <c r="AF265" s="295">
        <v>0</v>
      </c>
      <c r="AG265" s="295">
        <v>0</v>
      </c>
      <c r="AH265" s="295">
        <v>1857.5</v>
      </c>
      <c r="AI265" s="362"/>
    </row>
    <row r="266" spans="1:35" ht="13.5" customHeight="1">
      <c r="A266" s="291">
        <v>31705</v>
      </c>
      <c r="B266" s="291">
        <v>42788</v>
      </c>
      <c r="C266" s="292" t="s">
        <v>1223</v>
      </c>
      <c r="D266" s="293" t="s">
        <v>147</v>
      </c>
      <c r="E266" s="293" t="str">
        <f t="shared" si="4"/>
        <v>Q</v>
      </c>
      <c r="F266" s="293" t="s">
        <v>126</v>
      </c>
      <c r="G266" s="294">
        <v>1076</v>
      </c>
      <c r="H266" s="292" t="s">
        <v>97</v>
      </c>
      <c r="I266" s="292" t="s">
        <v>1866</v>
      </c>
      <c r="J266" s="293" t="s">
        <v>365</v>
      </c>
      <c r="K266" s="293"/>
      <c r="L266" s="293" t="s">
        <v>409</v>
      </c>
      <c r="M266" s="293" t="s">
        <v>1838</v>
      </c>
      <c r="N266" s="295">
        <v>1659</v>
      </c>
      <c r="O266" s="296" t="s">
        <v>673</v>
      </c>
      <c r="P266" s="295">
        <v>0</v>
      </c>
      <c r="Q266" s="295">
        <v>0</v>
      </c>
      <c r="R266" s="295">
        <v>0</v>
      </c>
      <c r="S266" s="295">
        <v>1699</v>
      </c>
      <c r="T266" s="295">
        <v>1699</v>
      </c>
      <c r="U266" s="295">
        <v>30</v>
      </c>
      <c r="V266" s="295">
        <v>10</v>
      </c>
      <c r="W266" s="295">
        <v>5.5</v>
      </c>
      <c r="X266" s="295">
        <v>5</v>
      </c>
      <c r="Y266" s="295">
        <v>18</v>
      </c>
      <c r="Z266" s="295">
        <v>15</v>
      </c>
      <c r="AA266" s="295">
        <v>70</v>
      </c>
      <c r="AB266" s="295">
        <v>0</v>
      </c>
      <c r="AC266" s="295">
        <v>0</v>
      </c>
      <c r="AD266" s="295">
        <v>0</v>
      </c>
      <c r="AE266" s="295">
        <v>0</v>
      </c>
      <c r="AF266" s="295">
        <v>-500</v>
      </c>
      <c r="AG266" s="295">
        <v>0</v>
      </c>
      <c r="AH266" s="295">
        <v>1352.5</v>
      </c>
      <c r="AI266" s="362"/>
    </row>
    <row r="267" spans="1:35" ht="13.5" customHeight="1">
      <c r="A267" s="291">
        <v>32141</v>
      </c>
      <c r="B267" s="291">
        <v>43217</v>
      </c>
      <c r="C267" s="292" t="s">
        <v>1224</v>
      </c>
      <c r="D267" s="293" t="s">
        <v>677</v>
      </c>
      <c r="E267" s="293" t="str">
        <f t="shared" si="4"/>
        <v>G</v>
      </c>
      <c r="F267" s="293" t="s">
        <v>126</v>
      </c>
      <c r="G267" s="294">
        <v>1076</v>
      </c>
      <c r="H267" s="292" t="s">
        <v>97</v>
      </c>
      <c r="I267" s="292" t="s">
        <v>2152</v>
      </c>
      <c r="J267" s="293" t="s">
        <v>2092</v>
      </c>
      <c r="K267" s="293"/>
      <c r="L267" s="293" t="s">
        <v>2092</v>
      </c>
      <c r="M267" s="293" t="s">
        <v>2153</v>
      </c>
      <c r="N267" s="295">
        <v>1609</v>
      </c>
      <c r="O267" s="296" t="s">
        <v>673</v>
      </c>
      <c r="P267" s="295">
        <v>0</v>
      </c>
      <c r="Q267" s="295">
        <v>0</v>
      </c>
      <c r="R267" s="295">
        <v>0</v>
      </c>
      <c r="S267" s="295">
        <v>1499</v>
      </c>
      <c r="T267" s="295">
        <v>1499</v>
      </c>
      <c r="U267" s="295">
        <v>30</v>
      </c>
      <c r="V267" s="295">
        <v>10</v>
      </c>
      <c r="W267" s="295">
        <v>5.5</v>
      </c>
      <c r="X267" s="295">
        <v>5</v>
      </c>
      <c r="Y267" s="295">
        <v>18</v>
      </c>
      <c r="Z267" s="295">
        <v>0</v>
      </c>
      <c r="AA267" s="295">
        <v>70</v>
      </c>
      <c r="AB267" s="295">
        <v>0</v>
      </c>
      <c r="AC267" s="295">
        <v>0</v>
      </c>
      <c r="AD267" s="295">
        <v>0</v>
      </c>
      <c r="AE267" s="295">
        <v>0</v>
      </c>
      <c r="AF267" s="295">
        <v>0</v>
      </c>
      <c r="AG267" s="295">
        <v>0</v>
      </c>
      <c r="AH267" s="295">
        <v>1637.5</v>
      </c>
      <c r="AI267" s="362"/>
    </row>
    <row r="268" spans="1:35" ht="13.5" customHeight="1">
      <c r="A268" s="291">
        <v>0</v>
      </c>
      <c r="B268" s="291">
        <v>0</v>
      </c>
      <c r="C268" s="292" t="s">
        <v>1227</v>
      </c>
      <c r="D268" s="293" t="s">
        <v>279</v>
      </c>
      <c r="E268" s="293" t="str">
        <f t="shared" si="4"/>
        <v>G</v>
      </c>
      <c r="F268" s="293" t="s">
        <v>126</v>
      </c>
      <c r="G268" s="294">
        <v>600</v>
      </c>
      <c r="H268" s="292" t="s">
        <v>140</v>
      </c>
      <c r="I268" s="292" t="s">
        <v>682</v>
      </c>
      <c r="J268" s="293"/>
      <c r="K268" s="293"/>
      <c r="L268" s="293"/>
      <c r="M268" s="293"/>
      <c r="N268" s="295">
        <v>1269</v>
      </c>
      <c r="O268" s="296"/>
      <c r="P268" s="295">
        <v>0</v>
      </c>
      <c r="Q268" s="295">
        <v>0</v>
      </c>
      <c r="R268" s="295">
        <v>0</v>
      </c>
      <c r="S268" s="295">
        <v>0</v>
      </c>
      <c r="T268" s="295">
        <v>0</v>
      </c>
      <c r="U268" s="295">
        <v>0</v>
      </c>
      <c r="V268" s="295">
        <v>0</v>
      </c>
      <c r="W268" s="295">
        <v>0</v>
      </c>
      <c r="X268" s="295">
        <v>0</v>
      </c>
      <c r="Y268" s="295">
        <v>0</v>
      </c>
      <c r="Z268" s="295">
        <v>0</v>
      </c>
      <c r="AA268" s="295">
        <v>0</v>
      </c>
      <c r="AB268" s="295">
        <v>0</v>
      </c>
      <c r="AC268" s="295">
        <v>0</v>
      </c>
      <c r="AD268" s="295">
        <v>0</v>
      </c>
      <c r="AE268" s="295">
        <v>0</v>
      </c>
      <c r="AF268" s="295">
        <v>0</v>
      </c>
      <c r="AG268" s="295">
        <v>0</v>
      </c>
      <c r="AH268" s="295">
        <v>0</v>
      </c>
      <c r="AI268" s="362"/>
    </row>
    <row r="269" spans="1:35" ht="13.5" customHeight="1">
      <c r="A269" s="291">
        <v>32135</v>
      </c>
      <c r="B269" s="291">
        <v>43203</v>
      </c>
      <c r="C269" s="292" t="s">
        <v>1227</v>
      </c>
      <c r="D269" s="293" t="s">
        <v>279</v>
      </c>
      <c r="E269" s="293" t="str">
        <f t="shared" si="4"/>
        <v>G</v>
      </c>
      <c r="F269" s="293" t="s">
        <v>126</v>
      </c>
      <c r="G269" s="294">
        <v>600</v>
      </c>
      <c r="H269" s="292" t="s">
        <v>2082</v>
      </c>
      <c r="I269" s="292" t="s">
        <v>2154</v>
      </c>
      <c r="J269" s="293" t="s">
        <v>500</v>
      </c>
      <c r="K269" s="293"/>
      <c r="L269" s="293" t="s">
        <v>500</v>
      </c>
      <c r="M269" s="293" t="s">
        <v>2155</v>
      </c>
      <c r="N269" s="295">
        <v>0</v>
      </c>
      <c r="O269" s="296" t="s">
        <v>673</v>
      </c>
      <c r="P269" s="295">
        <v>0</v>
      </c>
      <c r="Q269" s="295">
        <v>0</v>
      </c>
      <c r="R269" s="295">
        <v>0</v>
      </c>
      <c r="S269" s="295">
        <v>1269</v>
      </c>
      <c r="T269" s="295">
        <v>1269</v>
      </c>
      <c r="U269" s="295">
        <v>30</v>
      </c>
      <c r="V269" s="295">
        <v>10</v>
      </c>
      <c r="W269" s="295">
        <v>5.5</v>
      </c>
      <c r="X269" s="295">
        <v>5</v>
      </c>
      <c r="Y269" s="295">
        <v>18</v>
      </c>
      <c r="Z269" s="295">
        <v>0</v>
      </c>
      <c r="AA269" s="295">
        <v>70</v>
      </c>
      <c r="AB269" s="295">
        <v>0</v>
      </c>
      <c r="AC269" s="295">
        <v>0</v>
      </c>
      <c r="AD269" s="295">
        <v>0</v>
      </c>
      <c r="AE269" s="295">
        <v>0</v>
      </c>
      <c r="AF269" s="295">
        <v>0</v>
      </c>
      <c r="AG269" s="295">
        <v>0</v>
      </c>
      <c r="AH269" s="295">
        <v>1407.5</v>
      </c>
      <c r="AI269" s="362"/>
    </row>
    <row r="270" spans="1:35" ht="13.5" customHeight="1">
      <c r="A270" s="291">
        <v>31620</v>
      </c>
      <c r="B270" s="291">
        <v>42906</v>
      </c>
      <c r="C270" s="292" t="s">
        <v>1228</v>
      </c>
      <c r="D270" s="293" t="s">
        <v>129</v>
      </c>
      <c r="E270" s="293" t="str">
        <f t="shared" si="4"/>
        <v>F</v>
      </c>
      <c r="F270" s="293" t="s">
        <v>126</v>
      </c>
      <c r="G270" s="294">
        <v>600</v>
      </c>
      <c r="H270" s="292" t="s">
        <v>97</v>
      </c>
      <c r="I270" s="292" t="s">
        <v>1229</v>
      </c>
      <c r="J270" s="293" t="s">
        <v>337</v>
      </c>
      <c r="K270" s="293"/>
      <c r="L270" s="293" t="s">
        <v>1867</v>
      </c>
      <c r="M270" s="293" t="s">
        <v>1848</v>
      </c>
      <c r="N270" s="295">
        <v>1199</v>
      </c>
      <c r="O270" s="296" t="s">
        <v>673</v>
      </c>
      <c r="P270" s="295">
        <v>0</v>
      </c>
      <c r="Q270" s="295">
        <v>0</v>
      </c>
      <c r="R270" s="295">
        <v>0</v>
      </c>
      <c r="S270" s="295">
        <v>1259</v>
      </c>
      <c r="T270" s="295">
        <v>1259</v>
      </c>
      <c r="U270" s="295">
        <v>30</v>
      </c>
      <c r="V270" s="295">
        <v>10</v>
      </c>
      <c r="W270" s="295">
        <v>5.5</v>
      </c>
      <c r="X270" s="295">
        <v>5</v>
      </c>
      <c r="Y270" s="295">
        <v>18</v>
      </c>
      <c r="Z270" s="295">
        <v>15</v>
      </c>
      <c r="AA270" s="295">
        <v>70</v>
      </c>
      <c r="AB270" s="295">
        <v>0</v>
      </c>
      <c r="AC270" s="295">
        <v>0</v>
      </c>
      <c r="AD270" s="295">
        <v>0</v>
      </c>
      <c r="AE270" s="295">
        <v>0</v>
      </c>
      <c r="AF270" s="295">
        <v>0</v>
      </c>
      <c r="AG270" s="295">
        <v>0</v>
      </c>
      <c r="AH270" s="295">
        <v>1412.5</v>
      </c>
      <c r="AI270" s="362"/>
    </row>
    <row r="271" spans="1:35" ht="13.5" customHeight="1">
      <c r="A271" s="291">
        <v>137</v>
      </c>
      <c r="B271" s="291">
        <v>42732</v>
      </c>
      <c r="C271" s="292" t="s">
        <v>1230</v>
      </c>
      <c r="D271" s="293" t="s">
        <v>133</v>
      </c>
      <c r="E271" s="293" t="str">
        <f t="shared" si="4"/>
        <v>1</v>
      </c>
      <c r="F271" s="293" t="s">
        <v>126</v>
      </c>
      <c r="G271" s="294">
        <v>600</v>
      </c>
      <c r="H271" s="292" t="s">
        <v>97</v>
      </c>
      <c r="I271" s="292" t="s">
        <v>1231</v>
      </c>
      <c r="J271" s="293" t="s">
        <v>1232</v>
      </c>
      <c r="K271" s="293"/>
      <c r="L271" s="293" t="s">
        <v>1060</v>
      </c>
      <c r="M271" s="293" t="s">
        <v>1061</v>
      </c>
      <c r="N271" s="295">
        <v>1299</v>
      </c>
      <c r="O271" s="296" t="s">
        <v>673</v>
      </c>
      <c r="P271" s="295">
        <v>0</v>
      </c>
      <c r="Q271" s="295">
        <v>0</v>
      </c>
      <c r="R271" s="295">
        <v>0</v>
      </c>
      <c r="S271" s="295">
        <v>1297</v>
      </c>
      <c r="T271" s="295">
        <v>1297</v>
      </c>
      <c r="U271" s="295">
        <v>30</v>
      </c>
      <c r="V271" s="295">
        <v>10</v>
      </c>
      <c r="W271" s="295">
        <v>5.5</v>
      </c>
      <c r="X271" s="295">
        <v>5</v>
      </c>
      <c r="Y271" s="295">
        <v>18</v>
      </c>
      <c r="Z271" s="295">
        <v>0</v>
      </c>
      <c r="AA271" s="295">
        <v>0</v>
      </c>
      <c r="AB271" s="295">
        <v>0</v>
      </c>
      <c r="AC271" s="295">
        <v>0</v>
      </c>
      <c r="AD271" s="295">
        <v>0</v>
      </c>
      <c r="AE271" s="295">
        <v>0</v>
      </c>
      <c r="AF271" s="295">
        <v>0</v>
      </c>
      <c r="AG271" s="295">
        <v>0</v>
      </c>
      <c r="AH271" s="295">
        <v>1365.5</v>
      </c>
      <c r="AI271" s="362"/>
    </row>
    <row r="272" spans="1:35" ht="13.5" customHeight="1">
      <c r="A272" s="291">
        <v>31767</v>
      </c>
      <c r="B272" s="291">
        <v>43142</v>
      </c>
      <c r="C272" s="292" t="s">
        <v>1233</v>
      </c>
      <c r="D272" s="293" t="s">
        <v>139</v>
      </c>
      <c r="E272" s="293" t="str">
        <f t="shared" si="4"/>
        <v>Q</v>
      </c>
      <c r="F272" s="293" t="s">
        <v>126</v>
      </c>
      <c r="G272" s="294">
        <v>600</v>
      </c>
      <c r="H272" s="292" t="s">
        <v>97</v>
      </c>
      <c r="I272" s="292" t="s">
        <v>1234</v>
      </c>
      <c r="J272" s="293" t="s">
        <v>364</v>
      </c>
      <c r="K272" s="293"/>
      <c r="L272" s="293" t="s">
        <v>482</v>
      </c>
      <c r="M272" s="293" t="s">
        <v>2120</v>
      </c>
      <c r="N272" s="295">
        <v>1309</v>
      </c>
      <c r="O272" s="296" t="s">
        <v>673</v>
      </c>
      <c r="P272" s="295">
        <v>0</v>
      </c>
      <c r="Q272" s="295">
        <v>0</v>
      </c>
      <c r="R272" s="295">
        <v>-140</v>
      </c>
      <c r="S272" s="295">
        <v>1299</v>
      </c>
      <c r="T272" s="295">
        <v>1299</v>
      </c>
      <c r="U272" s="295">
        <v>30</v>
      </c>
      <c r="V272" s="295">
        <v>10</v>
      </c>
      <c r="W272" s="295">
        <v>5.5</v>
      </c>
      <c r="X272" s="295">
        <v>5</v>
      </c>
      <c r="Y272" s="295">
        <v>18</v>
      </c>
      <c r="Z272" s="295">
        <v>15</v>
      </c>
      <c r="AA272" s="295">
        <v>70</v>
      </c>
      <c r="AB272" s="295">
        <v>0</v>
      </c>
      <c r="AC272" s="295">
        <v>0</v>
      </c>
      <c r="AD272" s="295">
        <v>0</v>
      </c>
      <c r="AE272" s="295">
        <v>0</v>
      </c>
      <c r="AF272" s="295">
        <v>0</v>
      </c>
      <c r="AG272" s="295">
        <v>0</v>
      </c>
      <c r="AH272" s="295">
        <v>1452.5</v>
      </c>
      <c r="AI272" s="362"/>
    </row>
    <row r="273" spans="1:35" ht="13.5" customHeight="1">
      <c r="A273" s="291">
        <v>21413</v>
      </c>
      <c r="B273" s="291">
        <v>43092</v>
      </c>
      <c r="C273" s="292" t="s">
        <v>1235</v>
      </c>
      <c r="D273" s="293" t="s">
        <v>139</v>
      </c>
      <c r="E273" s="293" t="str">
        <f t="shared" si="4"/>
        <v>Q</v>
      </c>
      <c r="F273" s="293" t="s">
        <v>126</v>
      </c>
      <c r="G273" s="294">
        <v>600</v>
      </c>
      <c r="H273" s="292" t="s">
        <v>97</v>
      </c>
      <c r="I273" s="292" t="s">
        <v>1236</v>
      </c>
      <c r="J273" s="293" t="s">
        <v>288</v>
      </c>
      <c r="K273" s="293"/>
      <c r="L273" s="293" t="s">
        <v>2115</v>
      </c>
      <c r="M273" s="293" t="s">
        <v>2116</v>
      </c>
      <c r="N273" s="295">
        <v>1309</v>
      </c>
      <c r="O273" s="296" t="s">
        <v>673</v>
      </c>
      <c r="P273" s="295">
        <v>0</v>
      </c>
      <c r="Q273" s="295">
        <v>0</v>
      </c>
      <c r="R273" s="295">
        <v>0</v>
      </c>
      <c r="S273" s="295">
        <v>1299</v>
      </c>
      <c r="T273" s="295">
        <v>1299</v>
      </c>
      <c r="U273" s="295">
        <v>30</v>
      </c>
      <c r="V273" s="295">
        <v>10</v>
      </c>
      <c r="W273" s="295">
        <v>5.5</v>
      </c>
      <c r="X273" s="295">
        <v>5</v>
      </c>
      <c r="Y273" s="295">
        <v>18</v>
      </c>
      <c r="Z273" s="295">
        <v>0</v>
      </c>
      <c r="AA273" s="295">
        <v>70</v>
      </c>
      <c r="AB273" s="295">
        <v>0</v>
      </c>
      <c r="AC273" s="295">
        <v>0</v>
      </c>
      <c r="AD273" s="295">
        <v>0</v>
      </c>
      <c r="AE273" s="295">
        <v>0</v>
      </c>
      <c r="AF273" s="295">
        <v>0</v>
      </c>
      <c r="AG273" s="295">
        <v>0</v>
      </c>
      <c r="AH273" s="295">
        <v>1437.5</v>
      </c>
      <c r="AI273" s="362"/>
    </row>
    <row r="274" spans="1:35" ht="13.5" customHeight="1">
      <c r="A274" s="291">
        <v>32118</v>
      </c>
      <c r="B274" s="291">
        <v>43166</v>
      </c>
      <c r="C274" s="292" t="s">
        <v>1237</v>
      </c>
      <c r="D274" s="293" t="s">
        <v>139</v>
      </c>
      <c r="E274" s="293" t="str">
        <f t="shared" si="4"/>
        <v>Q</v>
      </c>
      <c r="F274" s="293" t="s">
        <v>126</v>
      </c>
      <c r="G274" s="294">
        <v>600</v>
      </c>
      <c r="H274" s="292" t="s">
        <v>97</v>
      </c>
      <c r="I274" s="292" t="s">
        <v>2156</v>
      </c>
      <c r="J274" s="293" t="s">
        <v>482</v>
      </c>
      <c r="K274" s="293"/>
      <c r="L274" s="293" t="s">
        <v>482</v>
      </c>
      <c r="M274" s="293" t="s">
        <v>1944</v>
      </c>
      <c r="N274" s="295">
        <v>1309</v>
      </c>
      <c r="O274" s="296" t="s">
        <v>673</v>
      </c>
      <c r="P274" s="295">
        <v>0</v>
      </c>
      <c r="Q274" s="295">
        <v>0</v>
      </c>
      <c r="R274" s="295">
        <v>0</v>
      </c>
      <c r="S274" s="295">
        <v>1279</v>
      </c>
      <c r="T274" s="295">
        <v>1279</v>
      </c>
      <c r="U274" s="295">
        <v>30</v>
      </c>
      <c r="V274" s="295">
        <v>10</v>
      </c>
      <c r="W274" s="295">
        <v>5.5</v>
      </c>
      <c r="X274" s="295">
        <v>5</v>
      </c>
      <c r="Y274" s="295">
        <v>0</v>
      </c>
      <c r="Z274" s="295">
        <v>15</v>
      </c>
      <c r="AA274" s="295">
        <v>70</v>
      </c>
      <c r="AB274" s="295">
        <v>0</v>
      </c>
      <c r="AC274" s="295">
        <v>0</v>
      </c>
      <c r="AD274" s="295">
        <v>0</v>
      </c>
      <c r="AE274" s="295">
        <v>-491.96</v>
      </c>
      <c r="AF274" s="295">
        <v>0</v>
      </c>
      <c r="AG274" s="295">
        <v>0</v>
      </c>
      <c r="AH274" s="295">
        <v>922.54</v>
      </c>
      <c r="AI274" s="362"/>
    </row>
    <row r="275" spans="1:35" ht="13.5" customHeight="1">
      <c r="A275" s="291">
        <v>31962</v>
      </c>
      <c r="B275" s="291">
        <v>42884</v>
      </c>
      <c r="C275" s="292" t="s">
        <v>1238</v>
      </c>
      <c r="D275" s="293" t="s">
        <v>139</v>
      </c>
      <c r="E275" s="293" t="str">
        <f t="shared" si="4"/>
        <v>Q</v>
      </c>
      <c r="F275" s="293" t="s">
        <v>126</v>
      </c>
      <c r="G275" s="294">
        <v>600</v>
      </c>
      <c r="H275" s="292" t="s">
        <v>97</v>
      </c>
      <c r="I275" s="292" t="s">
        <v>1868</v>
      </c>
      <c r="J275" s="293" t="s">
        <v>417</v>
      </c>
      <c r="K275" s="293"/>
      <c r="L275" s="293" t="s">
        <v>417</v>
      </c>
      <c r="M275" s="293" t="s">
        <v>1869</v>
      </c>
      <c r="N275" s="295">
        <v>1309</v>
      </c>
      <c r="O275" s="296" t="s">
        <v>673</v>
      </c>
      <c r="P275" s="295">
        <v>0</v>
      </c>
      <c r="Q275" s="295">
        <v>0</v>
      </c>
      <c r="R275" s="295">
        <v>0</v>
      </c>
      <c r="S275" s="295">
        <v>1199</v>
      </c>
      <c r="T275" s="295">
        <v>1199</v>
      </c>
      <c r="U275" s="295">
        <v>30</v>
      </c>
      <c r="V275" s="295">
        <v>10</v>
      </c>
      <c r="W275" s="295">
        <v>5.5</v>
      </c>
      <c r="X275" s="295">
        <v>5</v>
      </c>
      <c r="Y275" s="295">
        <v>0</v>
      </c>
      <c r="Z275" s="295">
        <v>0</v>
      </c>
      <c r="AA275" s="295">
        <v>70</v>
      </c>
      <c r="AB275" s="295">
        <v>0</v>
      </c>
      <c r="AC275" s="295">
        <v>0</v>
      </c>
      <c r="AD275" s="295">
        <v>0</v>
      </c>
      <c r="AE275" s="295">
        <v>0</v>
      </c>
      <c r="AF275" s="295">
        <v>0</v>
      </c>
      <c r="AG275" s="295">
        <v>0</v>
      </c>
      <c r="AH275" s="295">
        <v>1319.5</v>
      </c>
      <c r="AI275" s="362"/>
    </row>
    <row r="276" spans="1:35" ht="13.5" customHeight="1">
      <c r="A276" s="291">
        <v>31859</v>
      </c>
      <c r="B276" s="291">
        <v>43165</v>
      </c>
      <c r="C276" s="292" t="s">
        <v>1239</v>
      </c>
      <c r="D276" s="293" t="s">
        <v>279</v>
      </c>
      <c r="E276" s="293" t="str">
        <f t="shared" si="4"/>
        <v>G</v>
      </c>
      <c r="F276" s="293" t="s">
        <v>126</v>
      </c>
      <c r="G276" s="294">
        <v>600</v>
      </c>
      <c r="H276" s="292" t="s">
        <v>97</v>
      </c>
      <c r="I276" s="292" t="s">
        <v>1240</v>
      </c>
      <c r="J276" s="293" t="s">
        <v>1241</v>
      </c>
      <c r="K276" s="293"/>
      <c r="L276" s="293" t="s">
        <v>2071</v>
      </c>
      <c r="M276" s="293" t="s">
        <v>1987</v>
      </c>
      <c r="N276" s="295">
        <v>1269</v>
      </c>
      <c r="O276" s="296" t="s">
        <v>673</v>
      </c>
      <c r="P276" s="295">
        <v>0</v>
      </c>
      <c r="Q276" s="295">
        <v>0</v>
      </c>
      <c r="R276" s="295">
        <v>0</v>
      </c>
      <c r="S276" s="295">
        <v>1338</v>
      </c>
      <c r="T276" s="295">
        <v>1338</v>
      </c>
      <c r="U276" s="295">
        <v>30</v>
      </c>
      <c r="V276" s="295">
        <v>10</v>
      </c>
      <c r="W276" s="295">
        <v>5.5</v>
      </c>
      <c r="X276" s="295">
        <v>5</v>
      </c>
      <c r="Y276" s="295">
        <v>18</v>
      </c>
      <c r="Z276" s="295">
        <v>15</v>
      </c>
      <c r="AA276" s="295">
        <v>70</v>
      </c>
      <c r="AB276" s="295">
        <v>0</v>
      </c>
      <c r="AC276" s="295">
        <v>0</v>
      </c>
      <c r="AD276" s="295">
        <v>0</v>
      </c>
      <c r="AE276" s="295">
        <v>0</v>
      </c>
      <c r="AF276" s="295">
        <v>0</v>
      </c>
      <c r="AG276" s="295">
        <v>0</v>
      </c>
      <c r="AH276" s="295">
        <v>1491.5</v>
      </c>
      <c r="AI276" s="362"/>
    </row>
    <row r="277" spans="1:35" ht="13.5" customHeight="1">
      <c r="A277" s="291">
        <v>63</v>
      </c>
      <c r="B277" s="291">
        <v>43025</v>
      </c>
      <c r="C277" s="292" t="s">
        <v>1242</v>
      </c>
      <c r="D277" s="293" t="s">
        <v>160</v>
      </c>
      <c r="E277" s="293" t="str">
        <f t="shared" si="4"/>
        <v>Q</v>
      </c>
      <c r="F277" s="293" t="s">
        <v>126</v>
      </c>
      <c r="G277" s="294">
        <v>1010</v>
      </c>
      <c r="H277" s="292" t="s">
        <v>97</v>
      </c>
      <c r="I277" s="292" t="s">
        <v>1243</v>
      </c>
      <c r="J277" s="293" t="s">
        <v>1083</v>
      </c>
      <c r="K277" s="293"/>
      <c r="L277" s="293" t="s">
        <v>2002</v>
      </c>
      <c r="M277" s="293" t="s">
        <v>1983</v>
      </c>
      <c r="N277" s="295">
        <v>1579</v>
      </c>
      <c r="O277" s="296" t="s">
        <v>673</v>
      </c>
      <c r="P277" s="295">
        <v>430</v>
      </c>
      <c r="Q277" s="295">
        <v>430</v>
      </c>
      <c r="R277" s="295">
        <v>-1828.53</v>
      </c>
      <c r="S277" s="295">
        <v>1648</v>
      </c>
      <c r="T277" s="295">
        <v>1648</v>
      </c>
      <c r="U277" s="295">
        <v>30</v>
      </c>
      <c r="V277" s="295">
        <v>10</v>
      </c>
      <c r="W277" s="295">
        <v>5.5</v>
      </c>
      <c r="X277" s="295">
        <v>5</v>
      </c>
      <c r="Y277" s="295">
        <v>18</v>
      </c>
      <c r="Z277" s="295">
        <v>0</v>
      </c>
      <c r="AA277" s="295">
        <v>70</v>
      </c>
      <c r="AB277" s="295">
        <v>0</v>
      </c>
      <c r="AC277" s="295">
        <v>0</v>
      </c>
      <c r="AD277" s="295">
        <v>0</v>
      </c>
      <c r="AE277" s="295">
        <v>0</v>
      </c>
      <c r="AF277" s="295">
        <v>0</v>
      </c>
      <c r="AG277" s="295">
        <v>0</v>
      </c>
      <c r="AH277" s="295">
        <v>1786.5</v>
      </c>
      <c r="AI277" s="362"/>
    </row>
    <row r="278" spans="1:35" ht="13.5" customHeight="1">
      <c r="A278" s="291">
        <v>0</v>
      </c>
      <c r="B278" s="291">
        <v>0</v>
      </c>
      <c r="C278" s="292" t="s">
        <v>1244</v>
      </c>
      <c r="D278" s="293" t="s">
        <v>677</v>
      </c>
      <c r="E278" s="293" t="str">
        <f t="shared" si="4"/>
        <v>G</v>
      </c>
      <c r="F278" s="293" t="s">
        <v>126</v>
      </c>
      <c r="G278" s="294">
        <v>1076</v>
      </c>
      <c r="H278" s="292" t="s">
        <v>101</v>
      </c>
      <c r="I278" s="292" t="s">
        <v>682</v>
      </c>
      <c r="J278" s="293"/>
      <c r="K278" s="293"/>
      <c r="L278" s="293"/>
      <c r="M278" s="293"/>
      <c r="N278" s="295">
        <v>1609</v>
      </c>
      <c r="O278" s="296"/>
      <c r="P278" s="295">
        <v>0</v>
      </c>
      <c r="Q278" s="295">
        <v>0</v>
      </c>
      <c r="R278" s="295">
        <v>0</v>
      </c>
      <c r="S278" s="295">
        <v>0</v>
      </c>
      <c r="T278" s="295">
        <v>0</v>
      </c>
      <c r="U278" s="295">
        <v>0</v>
      </c>
      <c r="V278" s="295">
        <v>0</v>
      </c>
      <c r="W278" s="295">
        <v>0</v>
      </c>
      <c r="X278" s="295">
        <v>0</v>
      </c>
      <c r="Y278" s="295">
        <v>0</v>
      </c>
      <c r="Z278" s="295">
        <v>0</v>
      </c>
      <c r="AA278" s="295">
        <v>0</v>
      </c>
      <c r="AB278" s="295">
        <v>0</v>
      </c>
      <c r="AC278" s="295">
        <v>0</v>
      </c>
      <c r="AD278" s="295">
        <v>0</v>
      </c>
      <c r="AE278" s="295">
        <v>0</v>
      </c>
      <c r="AF278" s="295">
        <v>0</v>
      </c>
      <c r="AG278" s="295">
        <v>0</v>
      </c>
      <c r="AH278" s="295">
        <v>0</v>
      </c>
      <c r="AI278" s="362"/>
    </row>
    <row r="279" spans="1:35" ht="13.5" customHeight="1">
      <c r="A279" s="291">
        <v>31911</v>
      </c>
      <c r="B279" s="291">
        <v>42781</v>
      </c>
      <c r="C279" s="292" t="s">
        <v>1246</v>
      </c>
      <c r="D279" s="293" t="s">
        <v>147</v>
      </c>
      <c r="E279" s="293" t="str">
        <f t="shared" si="4"/>
        <v>Q</v>
      </c>
      <c r="F279" s="293" t="s">
        <v>126</v>
      </c>
      <c r="G279" s="294">
        <v>1076</v>
      </c>
      <c r="H279" s="292" t="s">
        <v>97</v>
      </c>
      <c r="I279" s="292" t="s">
        <v>1247</v>
      </c>
      <c r="J279" s="293" t="s">
        <v>1109</v>
      </c>
      <c r="K279" s="293"/>
      <c r="L279" s="293" t="s">
        <v>1109</v>
      </c>
      <c r="M279" s="293" t="s">
        <v>867</v>
      </c>
      <c r="N279" s="295">
        <v>1659</v>
      </c>
      <c r="O279" s="296" t="s">
        <v>673</v>
      </c>
      <c r="P279" s="295">
        <v>0</v>
      </c>
      <c r="Q279" s="295">
        <v>0</v>
      </c>
      <c r="R279" s="295">
        <v>0</v>
      </c>
      <c r="S279" s="295">
        <v>1689</v>
      </c>
      <c r="T279" s="295">
        <v>1689</v>
      </c>
      <c r="U279" s="295">
        <v>30</v>
      </c>
      <c r="V279" s="295">
        <v>10</v>
      </c>
      <c r="W279" s="295">
        <v>5.5</v>
      </c>
      <c r="X279" s="295">
        <v>5</v>
      </c>
      <c r="Y279" s="295">
        <v>18</v>
      </c>
      <c r="Z279" s="295">
        <v>0</v>
      </c>
      <c r="AA279" s="295">
        <v>70</v>
      </c>
      <c r="AB279" s="295">
        <v>0</v>
      </c>
      <c r="AC279" s="295">
        <v>0</v>
      </c>
      <c r="AD279" s="295">
        <v>0</v>
      </c>
      <c r="AE279" s="295">
        <v>0</v>
      </c>
      <c r="AF279" s="295">
        <v>0</v>
      </c>
      <c r="AG279" s="295">
        <v>0</v>
      </c>
      <c r="AH279" s="295">
        <v>1827.5</v>
      </c>
      <c r="AI279" s="362"/>
    </row>
    <row r="280" spans="1:35" ht="13.5" customHeight="1">
      <c r="A280" s="291">
        <v>19</v>
      </c>
      <c r="B280" s="291">
        <v>42825</v>
      </c>
      <c r="C280" s="292" t="s">
        <v>1248</v>
      </c>
      <c r="D280" s="293" t="s">
        <v>158</v>
      </c>
      <c r="E280" s="293" t="str">
        <f t="shared" si="4"/>
        <v>1</v>
      </c>
      <c r="F280" s="293" t="s">
        <v>126</v>
      </c>
      <c r="G280" s="294">
        <v>1010</v>
      </c>
      <c r="H280" s="292" t="s">
        <v>97</v>
      </c>
      <c r="I280" s="292" t="s">
        <v>1249</v>
      </c>
      <c r="J280" s="293" t="s">
        <v>1250</v>
      </c>
      <c r="K280" s="293"/>
      <c r="L280" s="293" t="s">
        <v>408</v>
      </c>
      <c r="M280" s="293" t="s">
        <v>1848</v>
      </c>
      <c r="N280" s="295">
        <v>1559</v>
      </c>
      <c r="O280" s="296" t="s">
        <v>673</v>
      </c>
      <c r="P280" s="295">
        <v>300</v>
      </c>
      <c r="Q280" s="295">
        <v>300</v>
      </c>
      <c r="R280" s="295">
        <v>0</v>
      </c>
      <c r="S280" s="295">
        <v>1639</v>
      </c>
      <c r="T280" s="295">
        <v>1639</v>
      </c>
      <c r="U280" s="295">
        <v>30</v>
      </c>
      <c r="V280" s="295">
        <v>10</v>
      </c>
      <c r="W280" s="295">
        <v>5.5</v>
      </c>
      <c r="X280" s="295">
        <v>5</v>
      </c>
      <c r="Y280" s="295">
        <v>18</v>
      </c>
      <c r="Z280" s="295">
        <v>0</v>
      </c>
      <c r="AA280" s="295">
        <v>70</v>
      </c>
      <c r="AB280" s="295">
        <v>35</v>
      </c>
      <c r="AC280" s="295">
        <v>0</v>
      </c>
      <c r="AD280" s="295">
        <v>0</v>
      </c>
      <c r="AE280" s="295">
        <v>0</v>
      </c>
      <c r="AF280" s="295">
        <v>0</v>
      </c>
      <c r="AG280" s="295">
        <v>0</v>
      </c>
      <c r="AH280" s="295">
        <v>1812.5</v>
      </c>
      <c r="AI280" s="362"/>
    </row>
    <row r="281" spans="1:35" ht="13.5" customHeight="1">
      <c r="A281" s="291">
        <v>31724</v>
      </c>
      <c r="B281" s="291">
        <v>43091</v>
      </c>
      <c r="C281" s="292" t="s">
        <v>1252</v>
      </c>
      <c r="D281" s="293" t="s">
        <v>163</v>
      </c>
      <c r="E281" s="293" t="str">
        <f t="shared" si="4"/>
        <v>F</v>
      </c>
      <c r="F281" s="293" t="s">
        <v>126</v>
      </c>
      <c r="G281" s="294">
        <v>1010</v>
      </c>
      <c r="H281" s="292" t="s">
        <v>142</v>
      </c>
      <c r="I281" s="292" t="s">
        <v>1253</v>
      </c>
      <c r="J281" s="293" t="s">
        <v>359</v>
      </c>
      <c r="K281" s="293" t="s">
        <v>477</v>
      </c>
      <c r="L281" s="293" t="s">
        <v>2128</v>
      </c>
      <c r="M281" s="293" t="s">
        <v>2097</v>
      </c>
      <c r="N281" s="295">
        <v>1459</v>
      </c>
      <c r="O281" s="296" t="s">
        <v>673</v>
      </c>
      <c r="P281" s="295">
        <v>0</v>
      </c>
      <c r="Q281" s="295">
        <v>0</v>
      </c>
      <c r="R281" s="295">
        <v>0</v>
      </c>
      <c r="S281" s="295">
        <v>1499</v>
      </c>
      <c r="T281" s="295">
        <v>1499</v>
      </c>
      <c r="U281" s="295">
        <v>30</v>
      </c>
      <c r="V281" s="295">
        <v>10</v>
      </c>
      <c r="W281" s="295">
        <v>5.5</v>
      </c>
      <c r="X281" s="295">
        <v>5</v>
      </c>
      <c r="Y281" s="295">
        <v>18</v>
      </c>
      <c r="Z281" s="295">
        <v>15</v>
      </c>
      <c r="AA281" s="295">
        <v>70</v>
      </c>
      <c r="AB281" s="295">
        <v>0</v>
      </c>
      <c r="AC281" s="295">
        <v>0</v>
      </c>
      <c r="AD281" s="295">
        <v>0</v>
      </c>
      <c r="AE281" s="295">
        <v>0</v>
      </c>
      <c r="AF281" s="295">
        <v>0</v>
      </c>
      <c r="AG281" s="295">
        <v>0</v>
      </c>
      <c r="AH281" s="295">
        <v>1652.5</v>
      </c>
      <c r="AI281" s="362"/>
    </row>
    <row r="282" spans="1:35" ht="13.5" customHeight="1">
      <c r="A282" s="291">
        <v>32130</v>
      </c>
      <c r="B282" s="291">
        <v>43196</v>
      </c>
      <c r="C282" s="292" t="s">
        <v>1254</v>
      </c>
      <c r="D282" s="293" t="s">
        <v>677</v>
      </c>
      <c r="E282" s="293" t="str">
        <f t="shared" si="4"/>
        <v>G</v>
      </c>
      <c r="F282" s="293" t="s">
        <v>126</v>
      </c>
      <c r="G282" s="294">
        <v>1076</v>
      </c>
      <c r="H282" s="292" t="s">
        <v>97</v>
      </c>
      <c r="I282" s="292" t="s">
        <v>2157</v>
      </c>
      <c r="J282" s="293" t="s">
        <v>483</v>
      </c>
      <c r="K282" s="293"/>
      <c r="L282" s="293" t="s">
        <v>483</v>
      </c>
      <c r="M282" s="293" t="s">
        <v>2116</v>
      </c>
      <c r="N282" s="295">
        <v>1609</v>
      </c>
      <c r="O282" s="296" t="s">
        <v>673</v>
      </c>
      <c r="P282" s="295">
        <v>0</v>
      </c>
      <c r="Q282" s="295">
        <v>0</v>
      </c>
      <c r="R282" s="295">
        <v>0</v>
      </c>
      <c r="S282" s="295">
        <v>1579</v>
      </c>
      <c r="T282" s="295">
        <v>1579</v>
      </c>
      <c r="U282" s="295">
        <v>30</v>
      </c>
      <c r="V282" s="295">
        <v>10</v>
      </c>
      <c r="W282" s="295">
        <v>5.5</v>
      </c>
      <c r="X282" s="295">
        <v>5</v>
      </c>
      <c r="Y282" s="295">
        <v>18</v>
      </c>
      <c r="Z282" s="295">
        <v>30</v>
      </c>
      <c r="AA282" s="295">
        <v>70</v>
      </c>
      <c r="AB282" s="295">
        <v>0</v>
      </c>
      <c r="AC282" s="295">
        <v>0</v>
      </c>
      <c r="AD282" s="295">
        <v>0</v>
      </c>
      <c r="AE282" s="295">
        <v>-1579</v>
      </c>
      <c r="AF282" s="295">
        <v>0</v>
      </c>
      <c r="AG282" s="295">
        <v>0</v>
      </c>
      <c r="AH282" s="295">
        <v>168.5</v>
      </c>
      <c r="AI282" s="362"/>
    </row>
    <row r="283" spans="1:35" ht="13.5" customHeight="1">
      <c r="A283" s="291">
        <v>21446</v>
      </c>
      <c r="B283" s="291">
        <v>42722</v>
      </c>
      <c r="C283" s="292" t="s">
        <v>1255</v>
      </c>
      <c r="D283" s="293" t="s">
        <v>677</v>
      </c>
      <c r="E283" s="293" t="str">
        <f t="shared" si="4"/>
        <v>G</v>
      </c>
      <c r="F283" s="293" t="s">
        <v>126</v>
      </c>
      <c r="G283" s="294">
        <v>1076</v>
      </c>
      <c r="H283" s="292" t="s">
        <v>142</v>
      </c>
      <c r="I283" s="292" t="s">
        <v>1256</v>
      </c>
      <c r="J283" s="293" t="s">
        <v>1257</v>
      </c>
      <c r="K283" s="293" t="s">
        <v>1258</v>
      </c>
      <c r="L283" s="293" t="s">
        <v>510</v>
      </c>
      <c r="M283" s="293" t="s">
        <v>1258</v>
      </c>
      <c r="N283" s="295">
        <v>1609</v>
      </c>
      <c r="O283" s="296" t="s">
        <v>673</v>
      </c>
      <c r="P283" s="295">
        <v>0</v>
      </c>
      <c r="Q283" s="295">
        <v>0</v>
      </c>
      <c r="R283" s="295">
        <v>0</v>
      </c>
      <c r="S283" s="295">
        <v>1639</v>
      </c>
      <c r="T283" s="295">
        <v>1639</v>
      </c>
      <c r="U283" s="295">
        <v>30</v>
      </c>
      <c r="V283" s="295">
        <v>10</v>
      </c>
      <c r="W283" s="295">
        <v>5.5</v>
      </c>
      <c r="X283" s="295">
        <v>5</v>
      </c>
      <c r="Y283" s="295">
        <v>18</v>
      </c>
      <c r="Z283" s="295">
        <v>15</v>
      </c>
      <c r="AA283" s="295">
        <v>0</v>
      </c>
      <c r="AB283" s="295">
        <v>35</v>
      </c>
      <c r="AC283" s="295">
        <v>0</v>
      </c>
      <c r="AD283" s="295">
        <v>0</v>
      </c>
      <c r="AE283" s="295">
        <v>0</v>
      </c>
      <c r="AF283" s="295">
        <v>0</v>
      </c>
      <c r="AG283" s="295">
        <v>0</v>
      </c>
      <c r="AH283" s="295">
        <v>1757.5</v>
      </c>
      <c r="AI283" s="362"/>
    </row>
    <row r="284" spans="1:35" ht="13.5" customHeight="1">
      <c r="A284" s="291">
        <v>11097</v>
      </c>
      <c r="B284" s="291">
        <v>42713</v>
      </c>
      <c r="C284" s="292" t="s">
        <v>1259</v>
      </c>
      <c r="D284" s="293" t="s">
        <v>160</v>
      </c>
      <c r="E284" s="293" t="str">
        <f t="shared" si="4"/>
        <v>Q</v>
      </c>
      <c r="F284" s="293" t="s">
        <v>126</v>
      </c>
      <c r="G284" s="294">
        <v>1010</v>
      </c>
      <c r="H284" s="292" t="s">
        <v>97</v>
      </c>
      <c r="I284" s="292" t="s">
        <v>1260</v>
      </c>
      <c r="J284" s="293" t="s">
        <v>1119</v>
      </c>
      <c r="K284" s="293"/>
      <c r="L284" s="293" t="s">
        <v>535</v>
      </c>
      <c r="M284" s="293" t="s">
        <v>536</v>
      </c>
      <c r="N284" s="295">
        <v>1579</v>
      </c>
      <c r="O284" s="296" t="s">
        <v>673</v>
      </c>
      <c r="P284" s="295">
        <v>0</v>
      </c>
      <c r="Q284" s="295">
        <v>0</v>
      </c>
      <c r="R284" s="295">
        <v>0</v>
      </c>
      <c r="S284" s="295">
        <v>1640</v>
      </c>
      <c r="T284" s="295">
        <v>1640</v>
      </c>
      <c r="U284" s="295">
        <v>30</v>
      </c>
      <c r="V284" s="295">
        <v>10</v>
      </c>
      <c r="W284" s="295">
        <v>5.5</v>
      </c>
      <c r="X284" s="295">
        <v>5</v>
      </c>
      <c r="Y284" s="295">
        <v>18</v>
      </c>
      <c r="Z284" s="295">
        <v>0</v>
      </c>
      <c r="AA284" s="295">
        <v>0</v>
      </c>
      <c r="AB284" s="295">
        <v>35</v>
      </c>
      <c r="AC284" s="295">
        <v>0</v>
      </c>
      <c r="AD284" s="295">
        <v>0</v>
      </c>
      <c r="AE284" s="295">
        <v>0</v>
      </c>
      <c r="AF284" s="295">
        <v>0</v>
      </c>
      <c r="AG284" s="295">
        <v>0</v>
      </c>
      <c r="AH284" s="295">
        <v>1743.5</v>
      </c>
      <c r="AI284" s="362"/>
    </row>
    <row r="285" spans="1:35" ht="13.5" customHeight="1">
      <c r="A285" s="291">
        <v>31497</v>
      </c>
      <c r="B285" s="291">
        <v>42755</v>
      </c>
      <c r="C285" s="292" t="s">
        <v>1261</v>
      </c>
      <c r="D285" s="293" t="s">
        <v>281</v>
      </c>
      <c r="E285" s="293" t="str">
        <f t="shared" si="4"/>
        <v>G</v>
      </c>
      <c r="F285" s="293" t="s">
        <v>126</v>
      </c>
      <c r="G285" s="294">
        <v>700</v>
      </c>
      <c r="H285" s="292" t="s">
        <v>97</v>
      </c>
      <c r="I285" s="292" t="s">
        <v>1262</v>
      </c>
      <c r="J285" s="293" t="s">
        <v>428</v>
      </c>
      <c r="K285" s="293"/>
      <c r="L285" s="293" t="s">
        <v>429</v>
      </c>
      <c r="M285" s="293" t="s">
        <v>1852</v>
      </c>
      <c r="N285" s="295">
        <v>1289</v>
      </c>
      <c r="O285" s="296" t="s">
        <v>673</v>
      </c>
      <c r="P285" s="295">
        <v>0</v>
      </c>
      <c r="Q285" s="295">
        <v>0</v>
      </c>
      <c r="R285" s="295">
        <v>34.1</v>
      </c>
      <c r="S285" s="295">
        <v>1379</v>
      </c>
      <c r="T285" s="295">
        <v>1379</v>
      </c>
      <c r="U285" s="295">
        <v>30</v>
      </c>
      <c r="V285" s="295">
        <v>10</v>
      </c>
      <c r="W285" s="295">
        <v>5.5</v>
      </c>
      <c r="X285" s="295">
        <v>5</v>
      </c>
      <c r="Y285" s="295">
        <v>18</v>
      </c>
      <c r="Z285" s="295">
        <v>15</v>
      </c>
      <c r="AA285" s="295">
        <v>70</v>
      </c>
      <c r="AB285" s="295">
        <v>35</v>
      </c>
      <c r="AC285" s="295">
        <v>0</v>
      </c>
      <c r="AD285" s="295">
        <v>0</v>
      </c>
      <c r="AE285" s="295">
        <v>0</v>
      </c>
      <c r="AF285" s="295">
        <v>0</v>
      </c>
      <c r="AG285" s="295">
        <v>0</v>
      </c>
      <c r="AH285" s="295">
        <v>1567.5</v>
      </c>
      <c r="AI285" s="362"/>
    </row>
    <row r="286" spans="1:35" ht="13.5" customHeight="1">
      <c r="A286" s="291">
        <v>18</v>
      </c>
      <c r="B286" s="291">
        <v>42908</v>
      </c>
      <c r="C286" s="292" t="s">
        <v>1263</v>
      </c>
      <c r="D286" s="293" t="s">
        <v>166</v>
      </c>
      <c r="E286" s="293" t="str">
        <f t="shared" si="4"/>
        <v>2</v>
      </c>
      <c r="F286" s="293" t="s">
        <v>126</v>
      </c>
      <c r="G286" s="294">
        <v>700</v>
      </c>
      <c r="H286" s="292" t="s">
        <v>97</v>
      </c>
      <c r="I286" s="292" t="s">
        <v>1264</v>
      </c>
      <c r="J286" s="293" t="s">
        <v>1265</v>
      </c>
      <c r="K286" s="293"/>
      <c r="L286" s="293" t="s">
        <v>431</v>
      </c>
      <c r="M286" s="293" t="s">
        <v>1857</v>
      </c>
      <c r="N286" s="295">
        <v>1349</v>
      </c>
      <c r="O286" s="296" t="s">
        <v>673</v>
      </c>
      <c r="P286" s="295">
        <v>0</v>
      </c>
      <c r="Q286" s="295">
        <v>0</v>
      </c>
      <c r="R286" s="295">
        <v>0</v>
      </c>
      <c r="S286" s="295">
        <v>1430</v>
      </c>
      <c r="T286" s="295">
        <v>1430</v>
      </c>
      <c r="U286" s="295">
        <v>30</v>
      </c>
      <c r="V286" s="295">
        <v>10</v>
      </c>
      <c r="W286" s="295">
        <v>5.5</v>
      </c>
      <c r="X286" s="295">
        <v>5</v>
      </c>
      <c r="Y286" s="295">
        <v>18</v>
      </c>
      <c r="Z286" s="295">
        <v>15</v>
      </c>
      <c r="AA286" s="295">
        <v>70</v>
      </c>
      <c r="AB286" s="295">
        <v>0</v>
      </c>
      <c r="AC286" s="295">
        <v>0</v>
      </c>
      <c r="AD286" s="295">
        <v>0</v>
      </c>
      <c r="AE286" s="295">
        <v>0</v>
      </c>
      <c r="AF286" s="295">
        <v>0</v>
      </c>
      <c r="AG286" s="295">
        <v>0</v>
      </c>
      <c r="AH286" s="295">
        <v>1583.5</v>
      </c>
      <c r="AI286" s="362"/>
    </row>
    <row r="287" spans="1:35" ht="13.5" customHeight="1">
      <c r="A287" s="291">
        <v>31949</v>
      </c>
      <c r="B287" s="291">
        <v>42855</v>
      </c>
      <c r="C287" s="292" t="s">
        <v>1266</v>
      </c>
      <c r="D287" s="293" t="s">
        <v>164</v>
      </c>
      <c r="E287" s="293" t="str">
        <f t="shared" si="4"/>
        <v>F</v>
      </c>
      <c r="F287" s="293" t="s">
        <v>126</v>
      </c>
      <c r="G287" s="294">
        <v>700</v>
      </c>
      <c r="H287" s="292" t="s">
        <v>97</v>
      </c>
      <c r="I287" s="292" t="s">
        <v>1870</v>
      </c>
      <c r="J287" s="293" t="s">
        <v>538</v>
      </c>
      <c r="K287" s="293"/>
      <c r="L287" s="293" t="s">
        <v>538</v>
      </c>
      <c r="M287" s="293" t="s">
        <v>1871</v>
      </c>
      <c r="N287" s="295">
        <v>1249</v>
      </c>
      <c r="O287" s="296" t="s">
        <v>673</v>
      </c>
      <c r="P287" s="295">
        <v>0</v>
      </c>
      <c r="Q287" s="295">
        <v>0</v>
      </c>
      <c r="R287" s="295">
        <v>-0.6</v>
      </c>
      <c r="S287" s="295">
        <v>1279</v>
      </c>
      <c r="T287" s="295">
        <v>1279</v>
      </c>
      <c r="U287" s="295">
        <v>30</v>
      </c>
      <c r="V287" s="295">
        <v>10</v>
      </c>
      <c r="W287" s="295">
        <v>5.5</v>
      </c>
      <c r="X287" s="295">
        <v>5</v>
      </c>
      <c r="Y287" s="295">
        <v>18</v>
      </c>
      <c r="Z287" s="295">
        <v>15</v>
      </c>
      <c r="AA287" s="295">
        <v>70</v>
      </c>
      <c r="AB287" s="295">
        <v>0</v>
      </c>
      <c r="AC287" s="295">
        <v>0</v>
      </c>
      <c r="AD287" s="295">
        <v>0</v>
      </c>
      <c r="AE287" s="295">
        <v>0</v>
      </c>
      <c r="AF287" s="295">
        <v>0</v>
      </c>
      <c r="AG287" s="295">
        <v>0</v>
      </c>
      <c r="AH287" s="295">
        <v>1432.5</v>
      </c>
      <c r="AI287" s="362"/>
    </row>
    <row r="288" spans="1:35" ht="13.5" customHeight="1">
      <c r="A288" s="291">
        <v>11186</v>
      </c>
      <c r="B288" s="291">
        <v>42804</v>
      </c>
      <c r="C288" s="292" t="s">
        <v>1267</v>
      </c>
      <c r="D288" s="293" t="s">
        <v>281</v>
      </c>
      <c r="E288" s="293" t="str">
        <f t="shared" si="4"/>
        <v>G</v>
      </c>
      <c r="F288" s="293" t="s">
        <v>126</v>
      </c>
      <c r="G288" s="294">
        <v>700</v>
      </c>
      <c r="H288" s="292" t="s">
        <v>97</v>
      </c>
      <c r="I288" s="292" t="s">
        <v>1088</v>
      </c>
      <c r="J288" s="293" t="s">
        <v>424</v>
      </c>
      <c r="K288" s="293"/>
      <c r="L288" s="293" t="s">
        <v>424</v>
      </c>
      <c r="M288" s="293" t="s">
        <v>1872</v>
      </c>
      <c r="N288" s="295">
        <v>1319</v>
      </c>
      <c r="O288" s="296" t="s">
        <v>673</v>
      </c>
      <c r="P288" s="295">
        <v>0</v>
      </c>
      <c r="Q288" s="295">
        <v>0</v>
      </c>
      <c r="R288" s="295">
        <v>0</v>
      </c>
      <c r="S288" s="295">
        <v>1349</v>
      </c>
      <c r="T288" s="295">
        <v>1349</v>
      </c>
      <c r="U288" s="295">
        <v>30</v>
      </c>
      <c r="V288" s="295">
        <v>10</v>
      </c>
      <c r="W288" s="295">
        <v>5.5</v>
      </c>
      <c r="X288" s="295">
        <v>5</v>
      </c>
      <c r="Y288" s="295">
        <v>18</v>
      </c>
      <c r="Z288" s="295">
        <v>15</v>
      </c>
      <c r="AA288" s="295">
        <v>70</v>
      </c>
      <c r="AB288" s="295">
        <v>0</v>
      </c>
      <c r="AC288" s="295">
        <v>0</v>
      </c>
      <c r="AD288" s="295">
        <v>0</v>
      </c>
      <c r="AE288" s="295">
        <v>0</v>
      </c>
      <c r="AF288" s="295">
        <v>0</v>
      </c>
      <c r="AG288" s="295">
        <v>0</v>
      </c>
      <c r="AH288" s="295">
        <v>1502.5</v>
      </c>
      <c r="AI288" s="362"/>
    </row>
    <row r="289" spans="1:35" ht="13.5" customHeight="1">
      <c r="A289" s="291">
        <v>176</v>
      </c>
      <c r="B289" s="291">
        <v>43054</v>
      </c>
      <c r="C289" s="292" t="s">
        <v>1268</v>
      </c>
      <c r="D289" s="293" t="s">
        <v>166</v>
      </c>
      <c r="E289" s="293" t="str">
        <f t="shared" si="4"/>
        <v>2</v>
      </c>
      <c r="F289" s="293" t="s">
        <v>126</v>
      </c>
      <c r="G289" s="294">
        <v>700</v>
      </c>
      <c r="H289" s="292" t="s">
        <v>97</v>
      </c>
      <c r="I289" s="292" t="s">
        <v>1269</v>
      </c>
      <c r="J289" s="293" t="s">
        <v>1270</v>
      </c>
      <c r="K289" s="293"/>
      <c r="L289" s="293" t="s">
        <v>1928</v>
      </c>
      <c r="M289" s="293" t="s">
        <v>1988</v>
      </c>
      <c r="N289" s="295">
        <v>1349</v>
      </c>
      <c r="O289" s="296" t="s">
        <v>673</v>
      </c>
      <c r="P289" s="295">
        <v>0</v>
      </c>
      <c r="Q289" s="295">
        <v>0</v>
      </c>
      <c r="R289" s="295">
        <v>0</v>
      </c>
      <c r="S289" s="295">
        <v>1448</v>
      </c>
      <c r="T289" s="295">
        <v>1448</v>
      </c>
      <c r="U289" s="295">
        <v>30</v>
      </c>
      <c r="V289" s="295">
        <v>10</v>
      </c>
      <c r="W289" s="295">
        <v>5.5</v>
      </c>
      <c r="X289" s="295">
        <v>5</v>
      </c>
      <c r="Y289" s="295">
        <v>18</v>
      </c>
      <c r="Z289" s="295">
        <v>0</v>
      </c>
      <c r="AA289" s="295">
        <v>70</v>
      </c>
      <c r="AB289" s="295">
        <v>0</v>
      </c>
      <c r="AC289" s="295">
        <v>0</v>
      </c>
      <c r="AD289" s="295">
        <v>0</v>
      </c>
      <c r="AE289" s="295">
        <v>0</v>
      </c>
      <c r="AF289" s="295">
        <v>0</v>
      </c>
      <c r="AG289" s="295">
        <v>0</v>
      </c>
      <c r="AH289" s="295">
        <v>1586.5</v>
      </c>
      <c r="AI289" s="362"/>
    </row>
    <row r="290" spans="1:35" ht="13.5" customHeight="1">
      <c r="A290" s="291">
        <v>32057</v>
      </c>
      <c r="B290" s="291">
        <v>43073</v>
      </c>
      <c r="C290" s="292" t="s">
        <v>1271</v>
      </c>
      <c r="D290" s="293" t="s">
        <v>164</v>
      </c>
      <c r="E290" s="293" t="str">
        <f t="shared" si="4"/>
        <v>F</v>
      </c>
      <c r="F290" s="293" t="s">
        <v>126</v>
      </c>
      <c r="G290" s="294">
        <v>700</v>
      </c>
      <c r="H290" s="292" t="s">
        <v>97</v>
      </c>
      <c r="I290" s="292" t="s">
        <v>2003</v>
      </c>
      <c r="J290" s="293" t="s">
        <v>750</v>
      </c>
      <c r="K290" s="293"/>
      <c r="L290" s="293" t="s">
        <v>750</v>
      </c>
      <c r="M290" s="293" t="s">
        <v>1997</v>
      </c>
      <c r="N290" s="295">
        <v>1249</v>
      </c>
      <c r="O290" s="296" t="s">
        <v>673</v>
      </c>
      <c r="P290" s="295">
        <v>0</v>
      </c>
      <c r="Q290" s="295">
        <v>0</v>
      </c>
      <c r="R290" s="295">
        <v>0</v>
      </c>
      <c r="S290" s="295">
        <v>1039</v>
      </c>
      <c r="T290" s="295">
        <v>1039</v>
      </c>
      <c r="U290" s="295">
        <v>30</v>
      </c>
      <c r="V290" s="295">
        <v>10</v>
      </c>
      <c r="W290" s="295">
        <v>5</v>
      </c>
      <c r="X290" s="295">
        <v>5</v>
      </c>
      <c r="Y290" s="295">
        <v>18</v>
      </c>
      <c r="Z290" s="295">
        <v>15</v>
      </c>
      <c r="AA290" s="295">
        <v>70</v>
      </c>
      <c r="AB290" s="295">
        <v>0</v>
      </c>
      <c r="AC290" s="295">
        <v>0</v>
      </c>
      <c r="AD290" s="295">
        <v>0</v>
      </c>
      <c r="AE290" s="295">
        <v>0</v>
      </c>
      <c r="AF290" s="295">
        <v>0</v>
      </c>
      <c r="AG290" s="295">
        <v>0</v>
      </c>
      <c r="AH290" s="295">
        <v>1192</v>
      </c>
      <c r="AI290" s="362"/>
    </row>
    <row r="291" spans="1:35" ht="13.5" customHeight="1">
      <c r="A291" s="291">
        <v>96</v>
      </c>
      <c r="B291" s="291">
        <v>43174</v>
      </c>
      <c r="C291" s="292" t="s">
        <v>1273</v>
      </c>
      <c r="D291" s="293" t="s">
        <v>166</v>
      </c>
      <c r="E291" s="293" t="str">
        <f t="shared" si="4"/>
        <v>2</v>
      </c>
      <c r="F291" s="293" t="s">
        <v>126</v>
      </c>
      <c r="G291" s="294">
        <v>700</v>
      </c>
      <c r="H291" s="292" t="s">
        <v>97</v>
      </c>
      <c r="I291" s="292" t="s">
        <v>1274</v>
      </c>
      <c r="J291" s="293" t="s">
        <v>1275</v>
      </c>
      <c r="K291" s="293"/>
      <c r="L291" s="293" t="s">
        <v>481</v>
      </c>
      <c r="M291" s="293" t="s">
        <v>1988</v>
      </c>
      <c r="N291" s="295">
        <v>1349</v>
      </c>
      <c r="O291" s="296" t="s">
        <v>673</v>
      </c>
      <c r="P291" s="295">
        <v>0</v>
      </c>
      <c r="Q291" s="295">
        <v>0</v>
      </c>
      <c r="R291" s="295">
        <v>0</v>
      </c>
      <c r="S291" s="295">
        <v>1309</v>
      </c>
      <c r="T291" s="295">
        <v>1309</v>
      </c>
      <c r="U291" s="295">
        <v>30</v>
      </c>
      <c r="V291" s="295">
        <v>10</v>
      </c>
      <c r="W291" s="295">
        <v>5.5</v>
      </c>
      <c r="X291" s="295">
        <v>5</v>
      </c>
      <c r="Y291" s="295">
        <v>18</v>
      </c>
      <c r="Z291" s="295">
        <v>15</v>
      </c>
      <c r="AA291" s="295">
        <v>70</v>
      </c>
      <c r="AB291" s="295">
        <v>0</v>
      </c>
      <c r="AC291" s="295">
        <v>0</v>
      </c>
      <c r="AD291" s="295">
        <v>0</v>
      </c>
      <c r="AE291" s="295">
        <v>0</v>
      </c>
      <c r="AF291" s="295">
        <v>0</v>
      </c>
      <c r="AG291" s="295">
        <v>0</v>
      </c>
      <c r="AH291" s="295">
        <v>1462.5</v>
      </c>
      <c r="AI291" s="362"/>
    </row>
    <row r="292" spans="1:35" ht="13.5" customHeight="1">
      <c r="A292" s="291">
        <v>31684</v>
      </c>
      <c r="B292" s="291">
        <v>42982</v>
      </c>
      <c r="C292" s="292" t="s">
        <v>1276</v>
      </c>
      <c r="D292" s="293" t="s">
        <v>167</v>
      </c>
      <c r="E292" s="293" t="str">
        <f t="shared" si="4"/>
        <v>Q</v>
      </c>
      <c r="F292" s="293" t="s">
        <v>126</v>
      </c>
      <c r="G292" s="294">
        <v>700</v>
      </c>
      <c r="H292" s="292" t="s">
        <v>97</v>
      </c>
      <c r="I292" s="292" t="s">
        <v>1277</v>
      </c>
      <c r="J292" s="293" t="s">
        <v>446</v>
      </c>
      <c r="K292" s="293"/>
      <c r="L292" s="293" t="s">
        <v>448</v>
      </c>
      <c r="M292" s="293" t="s">
        <v>2004</v>
      </c>
      <c r="N292" s="295">
        <v>1359</v>
      </c>
      <c r="O292" s="296" t="s">
        <v>673</v>
      </c>
      <c r="P292" s="295">
        <v>0</v>
      </c>
      <c r="Q292" s="295">
        <v>0</v>
      </c>
      <c r="R292" s="295">
        <v>0</v>
      </c>
      <c r="S292" s="295">
        <v>1299</v>
      </c>
      <c r="T292" s="295">
        <v>1299</v>
      </c>
      <c r="U292" s="295">
        <v>30</v>
      </c>
      <c r="V292" s="295">
        <v>10</v>
      </c>
      <c r="W292" s="295">
        <v>5.5</v>
      </c>
      <c r="X292" s="295">
        <v>5</v>
      </c>
      <c r="Y292" s="295">
        <v>18</v>
      </c>
      <c r="Z292" s="295">
        <v>0</v>
      </c>
      <c r="AA292" s="295">
        <v>70</v>
      </c>
      <c r="AB292" s="295">
        <v>0</v>
      </c>
      <c r="AC292" s="295">
        <v>0</v>
      </c>
      <c r="AD292" s="295">
        <v>0</v>
      </c>
      <c r="AE292" s="295">
        <v>0</v>
      </c>
      <c r="AF292" s="295">
        <v>0</v>
      </c>
      <c r="AG292" s="295">
        <v>0</v>
      </c>
      <c r="AH292" s="295">
        <v>1437.5</v>
      </c>
      <c r="AI292" s="362"/>
    </row>
    <row r="293" spans="1:35" ht="13.5" customHeight="1">
      <c r="A293" s="291">
        <v>31669</v>
      </c>
      <c r="B293" s="291">
        <v>42965</v>
      </c>
      <c r="C293" s="292" t="s">
        <v>1278</v>
      </c>
      <c r="D293" s="293" t="s">
        <v>163</v>
      </c>
      <c r="E293" s="293" t="str">
        <f t="shared" si="4"/>
        <v>F</v>
      </c>
      <c r="F293" s="293" t="s">
        <v>126</v>
      </c>
      <c r="G293" s="294">
        <v>1010</v>
      </c>
      <c r="H293" s="292" t="s">
        <v>97</v>
      </c>
      <c r="I293" s="292" t="s">
        <v>1279</v>
      </c>
      <c r="J293" s="293" t="s">
        <v>1280</v>
      </c>
      <c r="K293" s="293"/>
      <c r="L293" s="293" t="s">
        <v>454</v>
      </c>
      <c r="M293" s="293" t="s">
        <v>1889</v>
      </c>
      <c r="N293" s="295">
        <v>1459</v>
      </c>
      <c r="O293" s="296" t="s">
        <v>673</v>
      </c>
      <c r="P293" s="295">
        <v>0</v>
      </c>
      <c r="Q293" s="295">
        <v>0</v>
      </c>
      <c r="R293" s="295">
        <v>0</v>
      </c>
      <c r="S293" s="295">
        <v>1469</v>
      </c>
      <c r="T293" s="295">
        <v>1469</v>
      </c>
      <c r="U293" s="295">
        <v>30</v>
      </c>
      <c r="V293" s="295">
        <v>10</v>
      </c>
      <c r="W293" s="295">
        <v>5.5</v>
      </c>
      <c r="X293" s="295">
        <v>5</v>
      </c>
      <c r="Y293" s="295">
        <v>18</v>
      </c>
      <c r="Z293" s="295">
        <v>15</v>
      </c>
      <c r="AA293" s="295">
        <v>70</v>
      </c>
      <c r="AB293" s="295">
        <v>0</v>
      </c>
      <c r="AC293" s="295">
        <v>0</v>
      </c>
      <c r="AD293" s="295">
        <v>0</v>
      </c>
      <c r="AE293" s="295">
        <v>0</v>
      </c>
      <c r="AF293" s="295">
        <v>0</v>
      </c>
      <c r="AG293" s="295">
        <v>0</v>
      </c>
      <c r="AH293" s="295">
        <v>1622.5</v>
      </c>
      <c r="AI293" s="362"/>
    </row>
    <row r="294" spans="1:35" ht="13.5" customHeight="1">
      <c r="A294" s="291">
        <v>32077</v>
      </c>
      <c r="B294" s="291">
        <v>43107</v>
      </c>
      <c r="C294" s="292" t="s">
        <v>1281</v>
      </c>
      <c r="D294" s="293" t="s">
        <v>677</v>
      </c>
      <c r="E294" s="293" t="str">
        <f t="shared" si="4"/>
        <v>G</v>
      </c>
      <c r="F294" s="293" t="s">
        <v>126</v>
      </c>
      <c r="G294" s="294">
        <v>1076</v>
      </c>
      <c r="H294" s="292" t="s">
        <v>97</v>
      </c>
      <c r="I294" s="292" t="s">
        <v>2005</v>
      </c>
      <c r="J294" s="293" t="s">
        <v>1927</v>
      </c>
      <c r="K294" s="293"/>
      <c r="L294" s="293" t="s">
        <v>1927</v>
      </c>
      <c r="M294" s="293" t="s">
        <v>1983</v>
      </c>
      <c r="N294" s="295">
        <v>1609</v>
      </c>
      <c r="O294" s="296" t="s">
        <v>673</v>
      </c>
      <c r="P294" s="295">
        <v>0</v>
      </c>
      <c r="Q294" s="295">
        <v>0</v>
      </c>
      <c r="R294" s="295">
        <v>0</v>
      </c>
      <c r="S294" s="295">
        <v>1359</v>
      </c>
      <c r="T294" s="295">
        <v>1359</v>
      </c>
      <c r="U294" s="295">
        <v>30</v>
      </c>
      <c r="V294" s="295">
        <v>10</v>
      </c>
      <c r="W294" s="295">
        <v>5.5</v>
      </c>
      <c r="X294" s="295">
        <v>5</v>
      </c>
      <c r="Y294" s="295">
        <v>18</v>
      </c>
      <c r="Z294" s="295">
        <v>15</v>
      </c>
      <c r="AA294" s="295">
        <v>70</v>
      </c>
      <c r="AB294" s="295">
        <v>0</v>
      </c>
      <c r="AC294" s="295">
        <v>0</v>
      </c>
      <c r="AD294" s="295">
        <v>0</v>
      </c>
      <c r="AE294" s="295">
        <v>0</v>
      </c>
      <c r="AF294" s="295">
        <v>0</v>
      </c>
      <c r="AG294" s="295">
        <v>0</v>
      </c>
      <c r="AH294" s="295">
        <v>1512.5</v>
      </c>
      <c r="AI294" s="362"/>
    </row>
    <row r="295" spans="1:35" ht="13.5" customHeight="1">
      <c r="A295" s="291">
        <v>31512</v>
      </c>
      <c r="B295" s="291">
        <v>42133</v>
      </c>
      <c r="C295" s="292" t="s">
        <v>1284</v>
      </c>
      <c r="D295" s="293" t="s">
        <v>677</v>
      </c>
      <c r="E295" s="293" t="str">
        <f t="shared" si="4"/>
        <v>G</v>
      </c>
      <c r="F295" s="293" t="s">
        <v>126</v>
      </c>
      <c r="G295" s="294">
        <v>1076</v>
      </c>
      <c r="H295" s="292" t="s">
        <v>97</v>
      </c>
      <c r="I295" s="292" t="s">
        <v>1285</v>
      </c>
      <c r="J295" s="293" t="s">
        <v>1286</v>
      </c>
      <c r="K295" s="293"/>
      <c r="L295" s="293" t="s">
        <v>1286</v>
      </c>
      <c r="M295" s="293" t="s">
        <v>533</v>
      </c>
      <c r="N295" s="295">
        <v>1609</v>
      </c>
      <c r="O295" s="296" t="s">
        <v>673</v>
      </c>
      <c r="P295" s="295">
        <v>0</v>
      </c>
      <c r="Q295" s="295">
        <v>0</v>
      </c>
      <c r="R295" s="295">
        <v>-2024.1</v>
      </c>
      <c r="S295" s="295">
        <v>1639</v>
      </c>
      <c r="T295" s="295">
        <v>1639</v>
      </c>
      <c r="U295" s="295">
        <v>30</v>
      </c>
      <c r="V295" s="295">
        <v>10</v>
      </c>
      <c r="W295" s="295">
        <v>5.5</v>
      </c>
      <c r="X295" s="295">
        <v>5</v>
      </c>
      <c r="Y295" s="295">
        <v>18</v>
      </c>
      <c r="Z295" s="295">
        <v>15</v>
      </c>
      <c r="AA295" s="295">
        <v>0</v>
      </c>
      <c r="AB295" s="295">
        <v>0</v>
      </c>
      <c r="AC295" s="295">
        <v>0</v>
      </c>
      <c r="AD295" s="295">
        <v>250</v>
      </c>
      <c r="AE295" s="295">
        <v>0</v>
      </c>
      <c r="AF295" s="295">
        <v>0</v>
      </c>
      <c r="AG295" s="295">
        <v>0</v>
      </c>
      <c r="AH295" s="295">
        <v>1972.5</v>
      </c>
      <c r="AI295" s="362"/>
    </row>
    <row r="296" spans="1:35" ht="13.5" customHeight="1">
      <c r="A296" s="291">
        <v>31551</v>
      </c>
      <c r="B296" s="291">
        <v>42801</v>
      </c>
      <c r="C296" s="292" t="s">
        <v>1287</v>
      </c>
      <c r="D296" s="293" t="s">
        <v>163</v>
      </c>
      <c r="E296" s="293" t="str">
        <f t="shared" si="4"/>
        <v>F</v>
      </c>
      <c r="F296" s="293" t="s">
        <v>126</v>
      </c>
      <c r="G296" s="294">
        <v>1010</v>
      </c>
      <c r="H296" s="292" t="s">
        <v>97</v>
      </c>
      <c r="I296" s="292" t="s">
        <v>1288</v>
      </c>
      <c r="J296" s="293" t="s">
        <v>387</v>
      </c>
      <c r="K296" s="293"/>
      <c r="L296" s="293" t="s">
        <v>1109</v>
      </c>
      <c r="M296" s="293" t="s">
        <v>867</v>
      </c>
      <c r="N296" s="295">
        <v>1459</v>
      </c>
      <c r="O296" s="296" t="s">
        <v>673</v>
      </c>
      <c r="P296" s="295">
        <v>0</v>
      </c>
      <c r="Q296" s="295">
        <v>0</v>
      </c>
      <c r="R296" s="295">
        <v>0</v>
      </c>
      <c r="S296" s="295">
        <v>1499</v>
      </c>
      <c r="T296" s="295">
        <v>1499</v>
      </c>
      <c r="U296" s="295">
        <v>30</v>
      </c>
      <c r="V296" s="295">
        <v>10</v>
      </c>
      <c r="W296" s="295">
        <v>5.5</v>
      </c>
      <c r="X296" s="295">
        <v>5</v>
      </c>
      <c r="Y296" s="295">
        <v>18</v>
      </c>
      <c r="Z296" s="295">
        <v>15</v>
      </c>
      <c r="AA296" s="295">
        <v>0</v>
      </c>
      <c r="AB296" s="295">
        <v>0</v>
      </c>
      <c r="AC296" s="295">
        <v>0</v>
      </c>
      <c r="AD296" s="295">
        <v>0</v>
      </c>
      <c r="AE296" s="295">
        <v>0</v>
      </c>
      <c r="AF296" s="295">
        <v>0</v>
      </c>
      <c r="AG296" s="295">
        <v>0</v>
      </c>
      <c r="AH296" s="295">
        <v>1582.5</v>
      </c>
      <c r="AI296" s="362"/>
    </row>
    <row r="297" spans="1:35" ht="13.5" customHeight="1">
      <c r="A297" s="291">
        <v>32113</v>
      </c>
      <c r="B297" s="291">
        <v>43158</v>
      </c>
      <c r="C297" s="292" t="s">
        <v>1289</v>
      </c>
      <c r="D297" s="293" t="s">
        <v>160</v>
      </c>
      <c r="E297" s="293" t="str">
        <f t="shared" si="4"/>
        <v>Q</v>
      </c>
      <c r="F297" s="293" t="s">
        <v>126</v>
      </c>
      <c r="G297" s="294">
        <v>1010</v>
      </c>
      <c r="H297" s="292" t="s">
        <v>97</v>
      </c>
      <c r="I297" s="292" t="s">
        <v>2158</v>
      </c>
      <c r="J297" s="293" t="s">
        <v>1311</v>
      </c>
      <c r="K297" s="293"/>
      <c r="L297" s="293" t="s">
        <v>1311</v>
      </c>
      <c r="M297" s="293" t="s">
        <v>2159</v>
      </c>
      <c r="N297" s="295">
        <v>1579</v>
      </c>
      <c r="O297" s="296" t="s">
        <v>673</v>
      </c>
      <c r="P297" s="295">
        <v>0</v>
      </c>
      <c r="Q297" s="295">
        <v>0</v>
      </c>
      <c r="R297" s="295">
        <v>0</v>
      </c>
      <c r="S297" s="295">
        <v>1549</v>
      </c>
      <c r="T297" s="295">
        <v>1549</v>
      </c>
      <c r="U297" s="295">
        <v>30</v>
      </c>
      <c r="V297" s="295">
        <v>10</v>
      </c>
      <c r="W297" s="295">
        <v>5.5</v>
      </c>
      <c r="X297" s="295">
        <v>5</v>
      </c>
      <c r="Y297" s="295">
        <v>18</v>
      </c>
      <c r="Z297" s="295">
        <v>15</v>
      </c>
      <c r="AA297" s="295">
        <v>70</v>
      </c>
      <c r="AB297" s="295">
        <v>0</v>
      </c>
      <c r="AC297" s="295">
        <v>0</v>
      </c>
      <c r="AD297" s="295">
        <v>0</v>
      </c>
      <c r="AE297" s="295">
        <v>0</v>
      </c>
      <c r="AF297" s="295">
        <v>0</v>
      </c>
      <c r="AG297" s="295">
        <v>0</v>
      </c>
      <c r="AH297" s="295">
        <v>1702.5</v>
      </c>
      <c r="AI297" s="362"/>
    </row>
    <row r="298" spans="1:35" ht="13.5" customHeight="1">
      <c r="A298" s="291">
        <v>0</v>
      </c>
      <c r="B298" s="291">
        <v>0</v>
      </c>
      <c r="C298" s="292" t="s">
        <v>1290</v>
      </c>
      <c r="D298" s="293" t="s">
        <v>147</v>
      </c>
      <c r="E298" s="293" t="str">
        <f t="shared" si="4"/>
        <v>Q</v>
      </c>
      <c r="F298" s="293" t="s">
        <v>126</v>
      </c>
      <c r="G298" s="294">
        <v>1076</v>
      </c>
      <c r="H298" s="292" t="s">
        <v>101</v>
      </c>
      <c r="I298" s="292" t="s">
        <v>682</v>
      </c>
      <c r="J298" s="293"/>
      <c r="K298" s="293"/>
      <c r="L298" s="293"/>
      <c r="M298" s="293"/>
      <c r="N298" s="295">
        <v>1659</v>
      </c>
      <c r="O298" s="296"/>
      <c r="P298" s="295">
        <v>0</v>
      </c>
      <c r="Q298" s="295">
        <v>0</v>
      </c>
      <c r="R298" s="295">
        <v>0</v>
      </c>
      <c r="S298" s="295">
        <v>0</v>
      </c>
      <c r="T298" s="295">
        <v>0</v>
      </c>
      <c r="U298" s="295">
        <v>0</v>
      </c>
      <c r="V298" s="295">
        <v>0</v>
      </c>
      <c r="W298" s="295">
        <v>0</v>
      </c>
      <c r="X298" s="295">
        <v>0</v>
      </c>
      <c r="Y298" s="295">
        <v>0</v>
      </c>
      <c r="Z298" s="295">
        <v>0</v>
      </c>
      <c r="AA298" s="295">
        <v>0</v>
      </c>
      <c r="AB298" s="295">
        <v>0</v>
      </c>
      <c r="AC298" s="295">
        <v>0</v>
      </c>
      <c r="AD298" s="295">
        <v>0</v>
      </c>
      <c r="AE298" s="295">
        <v>0</v>
      </c>
      <c r="AF298" s="295">
        <v>0</v>
      </c>
      <c r="AG298" s="295">
        <v>0</v>
      </c>
      <c r="AH298" s="295">
        <v>0</v>
      </c>
      <c r="AI298" s="362"/>
    </row>
    <row r="299" spans="1:35" ht="13.5" customHeight="1">
      <c r="A299" s="291">
        <v>32061</v>
      </c>
      <c r="B299" s="291">
        <v>43077</v>
      </c>
      <c r="C299" s="292" t="s">
        <v>1293</v>
      </c>
      <c r="D299" s="293" t="s">
        <v>147</v>
      </c>
      <c r="E299" s="293" t="str">
        <f t="shared" si="4"/>
        <v>Q</v>
      </c>
      <c r="F299" s="293" t="s">
        <v>126</v>
      </c>
      <c r="G299" s="294">
        <v>1076</v>
      </c>
      <c r="H299" s="292" t="s">
        <v>97</v>
      </c>
      <c r="I299" s="292" t="s">
        <v>2006</v>
      </c>
      <c r="J299" s="293" t="s">
        <v>460</v>
      </c>
      <c r="K299" s="293"/>
      <c r="L299" s="293" t="s">
        <v>460</v>
      </c>
      <c r="M299" s="293" t="s">
        <v>2007</v>
      </c>
      <c r="N299" s="295">
        <v>1659</v>
      </c>
      <c r="O299" s="296" t="s">
        <v>673</v>
      </c>
      <c r="P299" s="295">
        <v>0</v>
      </c>
      <c r="Q299" s="295">
        <v>0</v>
      </c>
      <c r="R299" s="295">
        <v>0</v>
      </c>
      <c r="S299" s="295">
        <v>1589</v>
      </c>
      <c r="T299" s="295">
        <v>1589</v>
      </c>
      <c r="U299" s="295">
        <v>30</v>
      </c>
      <c r="V299" s="295">
        <v>10</v>
      </c>
      <c r="W299" s="295">
        <v>5</v>
      </c>
      <c r="X299" s="295">
        <v>5</v>
      </c>
      <c r="Y299" s="295">
        <v>18</v>
      </c>
      <c r="Z299" s="295">
        <v>15</v>
      </c>
      <c r="AA299" s="295">
        <v>70</v>
      </c>
      <c r="AB299" s="295">
        <v>0</v>
      </c>
      <c r="AC299" s="295">
        <v>0</v>
      </c>
      <c r="AD299" s="295">
        <v>0</v>
      </c>
      <c r="AE299" s="295">
        <v>0</v>
      </c>
      <c r="AF299" s="295">
        <v>0</v>
      </c>
      <c r="AG299" s="295">
        <v>0</v>
      </c>
      <c r="AH299" s="295">
        <v>1742</v>
      </c>
      <c r="AI299" s="362"/>
    </row>
    <row r="300" spans="1:35" ht="13.5" customHeight="1">
      <c r="A300" s="291">
        <v>31869</v>
      </c>
      <c r="B300" s="291">
        <v>42695</v>
      </c>
      <c r="C300" s="292" t="s">
        <v>1294</v>
      </c>
      <c r="D300" s="293" t="s">
        <v>872</v>
      </c>
      <c r="E300" s="293" t="str">
        <f t="shared" si="4"/>
        <v>G</v>
      </c>
      <c r="F300" s="293" t="s">
        <v>126</v>
      </c>
      <c r="G300" s="294">
        <v>1010</v>
      </c>
      <c r="H300" s="292" t="s">
        <v>358</v>
      </c>
      <c r="I300" s="292" t="s">
        <v>1295</v>
      </c>
      <c r="J300" s="293" t="s">
        <v>514</v>
      </c>
      <c r="K300" s="293" t="s">
        <v>515</v>
      </c>
      <c r="L300" s="293" t="s">
        <v>514</v>
      </c>
      <c r="M300" s="293" t="s">
        <v>515</v>
      </c>
      <c r="N300" s="295">
        <v>1529</v>
      </c>
      <c r="O300" s="296" t="s">
        <v>673</v>
      </c>
      <c r="P300" s="295">
        <v>0</v>
      </c>
      <c r="Q300" s="295">
        <v>0</v>
      </c>
      <c r="R300" s="295">
        <v>-447.33</v>
      </c>
      <c r="S300" s="295">
        <v>1559</v>
      </c>
      <c r="T300" s="295">
        <v>1559</v>
      </c>
      <c r="U300" s="295">
        <v>30</v>
      </c>
      <c r="V300" s="295">
        <v>10</v>
      </c>
      <c r="W300" s="295">
        <v>5.5</v>
      </c>
      <c r="X300" s="295">
        <v>5</v>
      </c>
      <c r="Y300" s="295">
        <v>18</v>
      </c>
      <c r="Z300" s="295">
        <v>15</v>
      </c>
      <c r="AA300" s="295">
        <v>0</v>
      </c>
      <c r="AB300" s="295">
        <v>35</v>
      </c>
      <c r="AC300" s="295">
        <v>0</v>
      </c>
      <c r="AD300" s="295">
        <v>0</v>
      </c>
      <c r="AE300" s="295">
        <v>0</v>
      </c>
      <c r="AF300" s="295">
        <v>0</v>
      </c>
      <c r="AG300" s="295">
        <v>0</v>
      </c>
      <c r="AH300" s="295">
        <v>1677.5</v>
      </c>
      <c r="AI300" s="362"/>
    </row>
    <row r="301" spans="1:35" ht="13.5" customHeight="1">
      <c r="A301" s="291">
        <v>58</v>
      </c>
      <c r="B301" s="291">
        <v>43204</v>
      </c>
      <c r="C301" s="292" t="s">
        <v>1294</v>
      </c>
      <c r="D301" s="293" t="s">
        <v>872</v>
      </c>
      <c r="E301" s="293" t="str">
        <f t="shared" si="4"/>
        <v>G</v>
      </c>
      <c r="F301" s="293" t="s">
        <v>126</v>
      </c>
      <c r="G301" s="294">
        <v>1010</v>
      </c>
      <c r="H301" s="292" t="s">
        <v>2138</v>
      </c>
      <c r="I301" s="292" t="s">
        <v>704</v>
      </c>
      <c r="J301" s="293" t="s">
        <v>513</v>
      </c>
      <c r="K301" s="293"/>
      <c r="L301" s="293" t="s">
        <v>513</v>
      </c>
      <c r="M301" s="293" t="s">
        <v>2139</v>
      </c>
      <c r="N301" s="295">
        <v>0</v>
      </c>
      <c r="O301" s="296" t="s">
        <v>673</v>
      </c>
      <c r="P301" s="295">
        <v>0</v>
      </c>
      <c r="Q301" s="295">
        <v>0</v>
      </c>
      <c r="R301" s="295">
        <v>0</v>
      </c>
      <c r="S301" s="295">
        <v>1499</v>
      </c>
      <c r="T301" s="295">
        <v>1499</v>
      </c>
      <c r="U301" s="295">
        <v>30</v>
      </c>
      <c r="V301" s="295">
        <v>10</v>
      </c>
      <c r="W301" s="295">
        <v>5.5</v>
      </c>
      <c r="X301" s="295">
        <v>5</v>
      </c>
      <c r="Y301" s="295">
        <v>18</v>
      </c>
      <c r="Z301" s="295">
        <v>0</v>
      </c>
      <c r="AA301" s="295">
        <v>70</v>
      </c>
      <c r="AB301" s="295">
        <v>35</v>
      </c>
      <c r="AC301" s="295">
        <v>0</v>
      </c>
      <c r="AD301" s="295">
        <v>0</v>
      </c>
      <c r="AE301" s="295">
        <v>0</v>
      </c>
      <c r="AF301" s="295">
        <v>0</v>
      </c>
      <c r="AG301" s="295">
        <v>0</v>
      </c>
      <c r="AH301" s="295">
        <v>1672.5</v>
      </c>
      <c r="AI301" s="362"/>
    </row>
    <row r="302" spans="1:35" ht="13.5" customHeight="1">
      <c r="A302" s="291">
        <v>31745</v>
      </c>
      <c r="B302" s="291">
        <v>43045</v>
      </c>
      <c r="C302" s="292" t="s">
        <v>1296</v>
      </c>
      <c r="D302" s="293" t="s">
        <v>139</v>
      </c>
      <c r="E302" s="293" t="str">
        <f t="shared" si="4"/>
        <v>Q</v>
      </c>
      <c r="F302" s="293" t="s">
        <v>126</v>
      </c>
      <c r="G302" s="294">
        <v>600</v>
      </c>
      <c r="H302" s="292" t="s">
        <v>97</v>
      </c>
      <c r="I302" s="292" t="s">
        <v>1297</v>
      </c>
      <c r="J302" s="293" t="s">
        <v>353</v>
      </c>
      <c r="K302" s="293"/>
      <c r="L302" s="293" t="s">
        <v>2160</v>
      </c>
      <c r="M302" s="293" t="s">
        <v>1988</v>
      </c>
      <c r="N302" s="295">
        <v>1309</v>
      </c>
      <c r="O302" s="296" t="s">
        <v>673</v>
      </c>
      <c r="P302" s="295">
        <v>0</v>
      </c>
      <c r="Q302" s="295">
        <v>0</v>
      </c>
      <c r="R302" s="295">
        <v>0</v>
      </c>
      <c r="S302" s="295">
        <v>1278</v>
      </c>
      <c r="T302" s="295">
        <v>1278</v>
      </c>
      <c r="U302" s="295">
        <v>30</v>
      </c>
      <c r="V302" s="295">
        <v>10</v>
      </c>
      <c r="W302" s="295">
        <v>5.5</v>
      </c>
      <c r="X302" s="295">
        <v>5</v>
      </c>
      <c r="Y302" s="295">
        <v>18</v>
      </c>
      <c r="Z302" s="295">
        <v>15</v>
      </c>
      <c r="AA302" s="295">
        <v>70</v>
      </c>
      <c r="AB302" s="295">
        <v>0</v>
      </c>
      <c r="AC302" s="295">
        <v>0</v>
      </c>
      <c r="AD302" s="295">
        <v>0</v>
      </c>
      <c r="AE302" s="295">
        <v>0</v>
      </c>
      <c r="AF302" s="295">
        <v>0</v>
      </c>
      <c r="AG302" s="295">
        <v>0</v>
      </c>
      <c r="AH302" s="295">
        <v>1431.5</v>
      </c>
      <c r="AI302" s="362"/>
    </row>
    <row r="303" spans="1:35" ht="13.5" customHeight="1">
      <c r="A303" s="291">
        <v>31922</v>
      </c>
      <c r="B303" s="291">
        <v>42807</v>
      </c>
      <c r="C303" s="292" t="s">
        <v>1298</v>
      </c>
      <c r="D303" s="293" t="s">
        <v>129</v>
      </c>
      <c r="E303" s="293" t="str">
        <f t="shared" si="4"/>
        <v>F</v>
      </c>
      <c r="F303" s="293" t="s">
        <v>126</v>
      </c>
      <c r="G303" s="294">
        <v>600</v>
      </c>
      <c r="H303" s="292" t="s">
        <v>97</v>
      </c>
      <c r="I303" s="292" t="s">
        <v>1873</v>
      </c>
      <c r="J303" s="293" t="s">
        <v>445</v>
      </c>
      <c r="K303" s="293"/>
      <c r="L303" s="293" t="s">
        <v>445</v>
      </c>
      <c r="M303" s="293" t="s">
        <v>1850</v>
      </c>
      <c r="N303" s="295">
        <v>1199</v>
      </c>
      <c r="O303" s="296" t="s">
        <v>673</v>
      </c>
      <c r="P303" s="295">
        <v>0</v>
      </c>
      <c r="Q303" s="295">
        <v>0</v>
      </c>
      <c r="R303" s="295">
        <v>0</v>
      </c>
      <c r="S303" s="295">
        <v>1229</v>
      </c>
      <c r="T303" s="295">
        <v>1229</v>
      </c>
      <c r="U303" s="295">
        <v>30</v>
      </c>
      <c r="V303" s="295">
        <v>10</v>
      </c>
      <c r="W303" s="295">
        <v>5.5</v>
      </c>
      <c r="X303" s="295">
        <v>5</v>
      </c>
      <c r="Y303" s="295">
        <v>18</v>
      </c>
      <c r="Z303" s="295">
        <v>15</v>
      </c>
      <c r="AA303" s="295">
        <v>70</v>
      </c>
      <c r="AB303" s="295">
        <v>0</v>
      </c>
      <c r="AC303" s="295">
        <v>0</v>
      </c>
      <c r="AD303" s="295">
        <v>0</v>
      </c>
      <c r="AE303" s="295">
        <v>0</v>
      </c>
      <c r="AF303" s="295">
        <v>0</v>
      </c>
      <c r="AG303" s="295">
        <v>0</v>
      </c>
      <c r="AH303" s="295">
        <v>1382.5</v>
      </c>
      <c r="AI303" s="362"/>
    </row>
    <row r="304" spans="1:35" ht="13.5" customHeight="1">
      <c r="A304" s="291">
        <v>11374</v>
      </c>
      <c r="B304" s="291">
        <v>43175</v>
      </c>
      <c r="C304" s="292" t="s">
        <v>1299</v>
      </c>
      <c r="D304" s="293" t="s">
        <v>279</v>
      </c>
      <c r="E304" s="293" t="str">
        <f t="shared" si="4"/>
        <v>G</v>
      </c>
      <c r="F304" s="293" t="s">
        <v>126</v>
      </c>
      <c r="G304" s="294">
        <v>600</v>
      </c>
      <c r="H304" s="292" t="s">
        <v>97</v>
      </c>
      <c r="I304" s="292" t="s">
        <v>1291</v>
      </c>
      <c r="J304" s="293" t="s">
        <v>490</v>
      </c>
      <c r="K304" s="293"/>
      <c r="L304" s="293" t="s">
        <v>490</v>
      </c>
      <c r="M304" s="293" t="s">
        <v>2161</v>
      </c>
      <c r="N304" s="295">
        <v>1269</v>
      </c>
      <c r="O304" s="296" t="s">
        <v>673</v>
      </c>
      <c r="P304" s="295">
        <v>0</v>
      </c>
      <c r="Q304" s="295">
        <v>0</v>
      </c>
      <c r="R304" s="295">
        <v>0</v>
      </c>
      <c r="S304" s="295">
        <v>1239</v>
      </c>
      <c r="T304" s="295">
        <v>1239</v>
      </c>
      <c r="U304" s="295">
        <v>30</v>
      </c>
      <c r="V304" s="295">
        <v>10</v>
      </c>
      <c r="W304" s="295">
        <v>5.5</v>
      </c>
      <c r="X304" s="295">
        <v>5</v>
      </c>
      <c r="Y304" s="295">
        <v>18</v>
      </c>
      <c r="Z304" s="295">
        <v>0</v>
      </c>
      <c r="AA304" s="295">
        <v>70</v>
      </c>
      <c r="AB304" s="295">
        <v>0</v>
      </c>
      <c r="AC304" s="295">
        <v>0</v>
      </c>
      <c r="AD304" s="295">
        <v>0</v>
      </c>
      <c r="AE304" s="295">
        <v>0</v>
      </c>
      <c r="AF304" s="295">
        <v>0</v>
      </c>
      <c r="AG304" s="295">
        <v>0</v>
      </c>
      <c r="AH304" s="295">
        <v>1377.5</v>
      </c>
      <c r="AI304" s="362"/>
    </row>
    <row r="305" spans="1:35" ht="13.5" customHeight="1">
      <c r="A305" s="291">
        <v>32097</v>
      </c>
      <c r="B305" s="291">
        <v>43133</v>
      </c>
      <c r="C305" s="292" t="s">
        <v>1300</v>
      </c>
      <c r="D305" s="293" t="s">
        <v>139</v>
      </c>
      <c r="E305" s="293" t="str">
        <f t="shared" si="4"/>
        <v>Q</v>
      </c>
      <c r="F305" s="293" t="s">
        <v>126</v>
      </c>
      <c r="G305" s="294">
        <v>600</v>
      </c>
      <c r="H305" s="292" t="s">
        <v>97</v>
      </c>
      <c r="I305" s="292" t="s">
        <v>2162</v>
      </c>
      <c r="J305" s="293" t="s">
        <v>2000</v>
      </c>
      <c r="K305" s="293"/>
      <c r="L305" s="293" t="s">
        <v>2000</v>
      </c>
      <c r="M305" s="293" t="s">
        <v>2122</v>
      </c>
      <c r="N305" s="295">
        <v>1309</v>
      </c>
      <c r="O305" s="296" t="s">
        <v>673</v>
      </c>
      <c r="P305" s="295">
        <v>0</v>
      </c>
      <c r="Q305" s="295">
        <v>0</v>
      </c>
      <c r="R305" s="295">
        <v>0</v>
      </c>
      <c r="S305" s="295">
        <v>1119</v>
      </c>
      <c r="T305" s="295">
        <v>1119</v>
      </c>
      <c r="U305" s="295">
        <v>30</v>
      </c>
      <c r="V305" s="295">
        <v>10</v>
      </c>
      <c r="W305" s="295">
        <v>5.5</v>
      </c>
      <c r="X305" s="295">
        <v>5</v>
      </c>
      <c r="Y305" s="295">
        <v>18</v>
      </c>
      <c r="Z305" s="295">
        <v>15</v>
      </c>
      <c r="AA305" s="295">
        <v>70</v>
      </c>
      <c r="AB305" s="295">
        <v>0</v>
      </c>
      <c r="AC305" s="295">
        <v>0</v>
      </c>
      <c r="AD305" s="295">
        <v>0</v>
      </c>
      <c r="AE305" s="295">
        <v>-430.38</v>
      </c>
      <c r="AF305" s="295">
        <v>0</v>
      </c>
      <c r="AG305" s="295">
        <v>0</v>
      </c>
      <c r="AH305" s="295">
        <v>842.12</v>
      </c>
      <c r="AI305" s="362"/>
    </row>
    <row r="306" spans="1:35" ht="13.5" customHeight="1">
      <c r="A306" s="291">
        <v>31501</v>
      </c>
      <c r="B306" s="291">
        <v>42746</v>
      </c>
      <c r="C306" s="292" t="s">
        <v>1301</v>
      </c>
      <c r="D306" s="293" t="s">
        <v>139</v>
      </c>
      <c r="E306" s="293" t="str">
        <f t="shared" si="4"/>
        <v>Q</v>
      </c>
      <c r="F306" s="293" t="s">
        <v>126</v>
      </c>
      <c r="G306" s="294">
        <v>600</v>
      </c>
      <c r="H306" s="292" t="s">
        <v>97</v>
      </c>
      <c r="I306" s="292" t="s">
        <v>1130</v>
      </c>
      <c r="J306" s="293" t="s">
        <v>915</v>
      </c>
      <c r="K306" s="293"/>
      <c r="L306" s="293" t="s">
        <v>1302</v>
      </c>
      <c r="M306" s="293" t="s">
        <v>523</v>
      </c>
      <c r="N306" s="295">
        <v>1309</v>
      </c>
      <c r="O306" s="296" t="s">
        <v>673</v>
      </c>
      <c r="P306" s="295">
        <v>0</v>
      </c>
      <c r="Q306" s="295">
        <v>0</v>
      </c>
      <c r="R306" s="295">
        <v>0</v>
      </c>
      <c r="S306" s="295">
        <v>1279</v>
      </c>
      <c r="T306" s="295">
        <v>1279</v>
      </c>
      <c r="U306" s="295">
        <v>30</v>
      </c>
      <c r="V306" s="295">
        <v>10</v>
      </c>
      <c r="W306" s="295">
        <v>5.5</v>
      </c>
      <c r="X306" s="295">
        <v>5</v>
      </c>
      <c r="Y306" s="295">
        <v>18</v>
      </c>
      <c r="Z306" s="295">
        <v>0</v>
      </c>
      <c r="AA306" s="295">
        <v>70</v>
      </c>
      <c r="AB306" s="295">
        <v>0</v>
      </c>
      <c r="AC306" s="295">
        <v>0</v>
      </c>
      <c r="AD306" s="295">
        <v>0</v>
      </c>
      <c r="AE306" s="295">
        <v>0</v>
      </c>
      <c r="AF306" s="295">
        <v>0</v>
      </c>
      <c r="AG306" s="295">
        <v>0</v>
      </c>
      <c r="AH306" s="295">
        <v>1417.5</v>
      </c>
      <c r="AI306" s="362"/>
    </row>
    <row r="307" spans="1:35" ht="13.5" customHeight="1">
      <c r="A307" s="291">
        <v>31999</v>
      </c>
      <c r="B307" s="291">
        <v>42941</v>
      </c>
      <c r="C307" s="292" t="s">
        <v>1303</v>
      </c>
      <c r="D307" s="293" t="s">
        <v>139</v>
      </c>
      <c r="E307" s="293" t="str">
        <f t="shared" si="4"/>
        <v>Q</v>
      </c>
      <c r="F307" s="293" t="s">
        <v>126</v>
      </c>
      <c r="G307" s="294">
        <v>600</v>
      </c>
      <c r="H307" s="292" t="s">
        <v>97</v>
      </c>
      <c r="I307" s="292" t="s">
        <v>1874</v>
      </c>
      <c r="J307" s="293" t="s">
        <v>1875</v>
      </c>
      <c r="K307" s="293"/>
      <c r="L307" s="293" t="s">
        <v>1875</v>
      </c>
      <c r="M307" s="293" t="s">
        <v>1876</v>
      </c>
      <c r="N307" s="295">
        <v>1309</v>
      </c>
      <c r="O307" s="296" t="s">
        <v>673</v>
      </c>
      <c r="P307" s="295">
        <v>0</v>
      </c>
      <c r="Q307" s="295">
        <v>0</v>
      </c>
      <c r="R307" s="295">
        <v>-1492.5</v>
      </c>
      <c r="S307" s="295">
        <v>1339</v>
      </c>
      <c r="T307" s="295">
        <v>1339</v>
      </c>
      <c r="U307" s="295">
        <v>30</v>
      </c>
      <c r="V307" s="295">
        <v>10</v>
      </c>
      <c r="W307" s="295">
        <v>5.5</v>
      </c>
      <c r="X307" s="295">
        <v>5</v>
      </c>
      <c r="Y307" s="295">
        <v>18</v>
      </c>
      <c r="Z307" s="295">
        <v>15</v>
      </c>
      <c r="AA307" s="295">
        <v>70</v>
      </c>
      <c r="AB307" s="295">
        <v>0</v>
      </c>
      <c r="AC307" s="295">
        <v>0</v>
      </c>
      <c r="AD307" s="295">
        <v>0</v>
      </c>
      <c r="AE307" s="295">
        <v>0</v>
      </c>
      <c r="AF307" s="295">
        <v>0</v>
      </c>
      <c r="AG307" s="295">
        <v>0</v>
      </c>
      <c r="AH307" s="295">
        <v>1492.5</v>
      </c>
      <c r="AI307" s="362"/>
    </row>
    <row r="308" spans="1:35" ht="13.5" customHeight="1">
      <c r="A308" s="291">
        <v>31626</v>
      </c>
      <c r="B308" s="291">
        <v>42850</v>
      </c>
      <c r="C308" s="292" t="s">
        <v>1304</v>
      </c>
      <c r="D308" s="293" t="s">
        <v>279</v>
      </c>
      <c r="E308" s="293" t="str">
        <f t="shared" si="4"/>
        <v>G</v>
      </c>
      <c r="F308" s="293" t="s">
        <v>126</v>
      </c>
      <c r="G308" s="294">
        <v>600</v>
      </c>
      <c r="H308" s="292" t="s">
        <v>97</v>
      </c>
      <c r="I308" s="292" t="s">
        <v>1305</v>
      </c>
      <c r="J308" s="293" t="s">
        <v>415</v>
      </c>
      <c r="K308" s="293"/>
      <c r="L308" s="293" t="s">
        <v>684</v>
      </c>
      <c r="M308" s="293" t="s">
        <v>1857</v>
      </c>
      <c r="N308" s="295">
        <v>1269</v>
      </c>
      <c r="O308" s="296" t="s">
        <v>673</v>
      </c>
      <c r="P308" s="295">
        <v>0</v>
      </c>
      <c r="Q308" s="295">
        <v>0</v>
      </c>
      <c r="R308" s="295">
        <v>0</v>
      </c>
      <c r="S308" s="295">
        <v>1269</v>
      </c>
      <c r="T308" s="295">
        <v>1269</v>
      </c>
      <c r="U308" s="295">
        <v>30</v>
      </c>
      <c r="V308" s="295">
        <v>10</v>
      </c>
      <c r="W308" s="295">
        <v>5.5</v>
      </c>
      <c r="X308" s="295">
        <v>5</v>
      </c>
      <c r="Y308" s="295">
        <v>18</v>
      </c>
      <c r="Z308" s="295">
        <v>0</v>
      </c>
      <c r="AA308" s="295">
        <v>70</v>
      </c>
      <c r="AB308" s="295">
        <v>0</v>
      </c>
      <c r="AC308" s="295">
        <v>0</v>
      </c>
      <c r="AD308" s="295">
        <v>0</v>
      </c>
      <c r="AE308" s="295">
        <v>0</v>
      </c>
      <c r="AF308" s="295">
        <v>0</v>
      </c>
      <c r="AG308" s="295">
        <v>0</v>
      </c>
      <c r="AH308" s="295">
        <v>1407.5</v>
      </c>
      <c r="AI308" s="362"/>
    </row>
    <row r="309" spans="1:35" ht="13.5" customHeight="1">
      <c r="A309" s="291">
        <v>31798</v>
      </c>
      <c r="B309" s="291">
        <v>43061</v>
      </c>
      <c r="C309" s="292" t="s">
        <v>1306</v>
      </c>
      <c r="D309" s="293" t="s">
        <v>139</v>
      </c>
      <c r="E309" s="293" t="str">
        <f t="shared" si="4"/>
        <v>Q</v>
      </c>
      <c r="F309" s="293" t="s">
        <v>126</v>
      </c>
      <c r="G309" s="294">
        <v>600</v>
      </c>
      <c r="H309" s="292" t="s">
        <v>97</v>
      </c>
      <c r="I309" s="292" t="s">
        <v>1307</v>
      </c>
      <c r="J309" s="293" t="s">
        <v>495</v>
      </c>
      <c r="K309" s="293"/>
      <c r="L309" s="293" t="s">
        <v>2020</v>
      </c>
      <c r="M309" s="293" t="s">
        <v>2019</v>
      </c>
      <c r="N309" s="295">
        <v>1309</v>
      </c>
      <c r="O309" s="296" t="s">
        <v>673</v>
      </c>
      <c r="P309" s="295">
        <v>0</v>
      </c>
      <c r="Q309" s="295">
        <v>0</v>
      </c>
      <c r="R309" s="295">
        <v>0</v>
      </c>
      <c r="S309" s="295">
        <v>1299</v>
      </c>
      <c r="T309" s="295">
        <v>1299</v>
      </c>
      <c r="U309" s="295">
        <v>30</v>
      </c>
      <c r="V309" s="295">
        <v>10</v>
      </c>
      <c r="W309" s="295">
        <v>5.5</v>
      </c>
      <c r="X309" s="295">
        <v>5</v>
      </c>
      <c r="Y309" s="295">
        <v>18</v>
      </c>
      <c r="Z309" s="295">
        <v>0</v>
      </c>
      <c r="AA309" s="295">
        <v>70</v>
      </c>
      <c r="AB309" s="295">
        <v>0</v>
      </c>
      <c r="AC309" s="295">
        <v>0</v>
      </c>
      <c r="AD309" s="295">
        <v>0</v>
      </c>
      <c r="AE309" s="295">
        <v>0</v>
      </c>
      <c r="AF309" s="295">
        <v>0</v>
      </c>
      <c r="AG309" s="295">
        <v>0</v>
      </c>
      <c r="AH309" s="295">
        <v>1437.5</v>
      </c>
      <c r="AI309" s="362"/>
    </row>
    <row r="310" spans="1:35" ht="13.5" customHeight="1">
      <c r="A310" s="291">
        <v>31730</v>
      </c>
      <c r="B310" s="291">
        <v>43114</v>
      </c>
      <c r="C310" s="292" t="s">
        <v>1308</v>
      </c>
      <c r="D310" s="293" t="s">
        <v>872</v>
      </c>
      <c r="E310" s="293" t="str">
        <f t="shared" si="4"/>
        <v>G</v>
      </c>
      <c r="F310" s="293" t="s">
        <v>126</v>
      </c>
      <c r="G310" s="294">
        <v>1010</v>
      </c>
      <c r="H310" s="292" t="s">
        <v>97</v>
      </c>
      <c r="I310" s="292" t="s">
        <v>1309</v>
      </c>
      <c r="J310" s="293" t="s">
        <v>1310</v>
      </c>
      <c r="K310" s="293"/>
      <c r="L310" s="293" t="s">
        <v>2163</v>
      </c>
      <c r="M310" s="293" t="s">
        <v>2164</v>
      </c>
      <c r="N310" s="295">
        <v>1529</v>
      </c>
      <c r="O310" s="296" t="s">
        <v>673</v>
      </c>
      <c r="P310" s="295">
        <v>0</v>
      </c>
      <c r="Q310" s="295">
        <v>0</v>
      </c>
      <c r="R310" s="295">
        <v>-1764.53</v>
      </c>
      <c r="S310" s="295">
        <v>1569</v>
      </c>
      <c r="T310" s="295">
        <v>1569</v>
      </c>
      <c r="U310" s="295">
        <v>30</v>
      </c>
      <c r="V310" s="295">
        <v>10</v>
      </c>
      <c r="W310" s="295">
        <v>5.5</v>
      </c>
      <c r="X310" s="295">
        <v>5</v>
      </c>
      <c r="Y310" s="295">
        <v>18</v>
      </c>
      <c r="Z310" s="295">
        <v>15</v>
      </c>
      <c r="AA310" s="295">
        <v>70</v>
      </c>
      <c r="AB310" s="295">
        <v>0</v>
      </c>
      <c r="AC310" s="295">
        <v>0</v>
      </c>
      <c r="AD310" s="295">
        <v>0</v>
      </c>
      <c r="AE310" s="295">
        <v>0</v>
      </c>
      <c r="AF310" s="295">
        <v>0</v>
      </c>
      <c r="AG310" s="295">
        <v>0</v>
      </c>
      <c r="AH310" s="295">
        <v>1722.5</v>
      </c>
      <c r="AI310" s="362"/>
    </row>
    <row r="311" spans="1:35" ht="13.5" customHeight="1">
      <c r="A311" s="291">
        <v>11137</v>
      </c>
      <c r="B311" s="291">
        <v>42874</v>
      </c>
      <c r="C311" s="292" t="s">
        <v>1312</v>
      </c>
      <c r="D311" s="293" t="s">
        <v>160</v>
      </c>
      <c r="E311" s="293" t="str">
        <f t="shared" si="4"/>
        <v>Q</v>
      </c>
      <c r="F311" s="293" t="s">
        <v>126</v>
      </c>
      <c r="G311" s="294">
        <v>1010</v>
      </c>
      <c r="H311" s="292" t="s">
        <v>97</v>
      </c>
      <c r="I311" s="292" t="s">
        <v>1313</v>
      </c>
      <c r="J311" s="293" t="s">
        <v>1314</v>
      </c>
      <c r="K311" s="293" t="s">
        <v>2071</v>
      </c>
      <c r="L311" s="293" t="s">
        <v>811</v>
      </c>
      <c r="M311" s="293" t="s">
        <v>1833</v>
      </c>
      <c r="N311" s="295">
        <v>1579</v>
      </c>
      <c r="O311" s="296" t="s">
        <v>673</v>
      </c>
      <c r="P311" s="295">
        <v>0</v>
      </c>
      <c r="Q311" s="295">
        <v>0</v>
      </c>
      <c r="R311" s="295">
        <v>0</v>
      </c>
      <c r="S311" s="295">
        <v>1699</v>
      </c>
      <c r="T311" s="295">
        <v>1699</v>
      </c>
      <c r="U311" s="295">
        <v>30</v>
      </c>
      <c r="V311" s="295">
        <v>10</v>
      </c>
      <c r="W311" s="295">
        <v>5.5</v>
      </c>
      <c r="X311" s="295">
        <v>5</v>
      </c>
      <c r="Y311" s="295">
        <v>18</v>
      </c>
      <c r="Z311" s="295">
        <v>45</v>
      </c>
      <c r="AA311" s="295">
        <v>70</v>
      </c>
      <c r="AB311" s="295">
        <v>0</v>
      </c>
      <c r="AC311" s="295">
        <v>0</v>
      </c>
      <c r="AD311" s="295">
        <v>0</v>
      </c>
      <c r="AE311" s="295">
        <v>0</v>
      </c>
      <c r="AF311" s="295">
        <v>0</v>
      </c>
      <c r="AG311" s="295">
        <v>0</v>
      </c>
      <c r="AH311" s="295">
        <v>1882.5</v>
      </c>
      <c r="AI311" s="362"/>
    </row>
    <row r="312" spans="1:35" ht="13.5" customHeight="1">
      <c r="A312" s="291">
        <v>32114</v>
      </c>
      <c r="B312" s="291">
        <v>43159</v>
      </c>
      <c r="C312" s="292" t="s">
        <v>1315</v>
      </c>
      <c r="D312" s="293" t="s">
        <v>872</v>
      </c>
      <c r="E312" s="293" t="str">
        <f t="shared" si="4"/>
        <v>G</v>
      </c>
      <c r="F312" s="293" t="s">
        <v>126</v>
      </c>
      <c r="G312" s="294">
        <v>1010</v>
      </c>
      <c r="H312" s="292" t="s">
        <v>97</v>
      </c>
      <c r="I312" s="292" t="s">
        <v>2165</v>
      </c>
      <c r="J312" s="293" t="s">
        <v>1843</v>
      </c>
      <c r="K312" s="293"/>
      <c r="L312" s="293" t="s">
        <v>1843</v>
      </c>
      <c r="M312" s="293" t="s">
        <v>2086</v>
      </c>
      <c r="N312" s="295">
        <v>1529</v>
      </c>
      <c r="O312" s="296" t="s">
        <v>673</v>
      </c>
      <c r="P312" s="295">
        <v>0</v>
      </c>
      <c r="Q312" s="295">
        <v>0</v>
      </c>
      <c r="R312" s="295">
        <v>0</v>
      </c>
      <c r="S312" s="295">
        <v>1499</v>
      </c>
      <c r="T312" s="295">
        <v>1499</v>
      </c>
      <c r="U312" s="295">
        <v>30</v>
      </c>
      <c r="V312" s="295">
        <v>10</v>
      </c>
      <c r="W312" s="295">
        <v>5.5</v>
      </c>
      <c r="X312" s="295">
        <v>5</v>
      </c>
      <c r="Y312" s="295">
        <v>18</v>
      </c>
      <c r="Z312" s="295">
        <v>15</v>
      </c>
      <c r="AA312" s="295">
        <v>70</v>
      </c>
      <c r="AB312" s="295">
        <v>0</v>
      </c>
      <c r="AC312" s="295">
        <v>0</v>
      </c>
      <c r="AD312" s="295">
        <v>0</v>
      </c>
      <c r="AE312" s="295">
        <v>0</v>
      </c>
      <c r="AF312" s="295">
        <v>0</v>
      </c>
      <c r="AG312" s="295">
        <v>0</v>
      </c>
      <c r="AH312" s="295">
        <v>1652.5</v>
      </c>
      <c r="AI312" s="362"/>
    </row>
    <row r="313" spans="1:35" ht="13.5" customHeight="1">
      <c r="A313" s="291">
        <v>32109</v>
      </c>
      <c r="B313" s="291">
        <v>43150</v>
      </c>
      <c r="C313" s="292" t="s">
        <v>1316</v>
      </c>
      <c r="D313" s="293" t="s">
        <v>160</v>
      </c>
      <c r="E313" s="293" t="str">
        <f t="shared" si="4"/>
        <v>Q</v>
      </c>
      <c r="F313" s="293" t="s">
        <v>126</v>
      </c>
      <c r="G313" s="294">
        <v>1010</v>
      </c>
      <c r="H313" s="292" t="s">
        <v>97</v>
      </c>
      <c r="I313" s="292" t="s">
        <v>2166</v>
      </c>
      <c r="J313" s="293" t="s">
        <v>1843</v>
      </c>
      <c r="K313" s="293"/>
      <c r="L313" s="293" t="s">
        <v>1843</v>
      </c>
      <c r="M313" s="293" t="s">
        <v>2167</v>
      </c>
      <c r="N313" s="295">
        <v>1579</v>
      </c>
      <c r="O313" s="296" t="s">
        <v>673</v>
      </c>
      <c r="P313" s="295">
        <v>0</v>
      </c>
      <c r="Q313" s="295">
        <v>0</v>
      </c>
      <c r="R313" s="295">
        <v>0</v>
      </c>
      <c r="S313" s="295">
        <v>1549</v>
      </c>
      <c r="T313" s="295">
        <v>1549</v>
      </c>
      <c r="U313" s="295">
        <v>30</v>
      </c>
      <c r="V313" s="295">
        <v>10</v>
      </c>
      <c r="W313" s="295">
        <v>5.5</v>
      </c>
      <c r="X313" s="295">
        <v>5</v>
      </c>
      <c r="Y313" s="295">
        <v>18</v>
      </c>
      <c r="Z313" s="295">
        <v>15</v>
      </c>
      <c r="AA313" s="295">
        <v>70</v>
      </c>
      <c r="AB313" s="295">
        <v>0</v>
      </c>
      <c r="AC313" s="295">
        <v>0</v>
      </c>
      <c r="AD313" s="295">
        <v>0</v>
      </c>
      <c r="AE313" s="295">
        <v>0</v>
      </c>
      <c r="AF313" s="295">
        <v>0</v>
      </c>
      <c r="AG313" s="295">
        <v>0</v>
      </c>
      <c r="AH313" s="295">
        <v>1702.5</v>
      </c>
      <c r="AI313" s="362"/>
    </row>
    <row r="314" spans="1:35" ht="13.5" customHeight="1">
      <c r="A314" s="291">
        <v>31597</v>
      </c>
      <c r="B314" s="291">
        <v>42915</v>
      </c>
      <c r="C314" s="292" t="s">
        <v>1317</v>
      </c>
      <c r="D314" s="293" t="s">
        <v>171</v>
      </c>
      <c r="E314" s="293" t="str">
        <f t="shared" si="4"/>
        <v>F</v>
      </c>
      <c r="F314" s="293" t="s">
        <v>126</v>
      </c>
      <c r="G314" s="294">
        <v>825</v>
      </c>
      <c r="H314" s="292" t="s">
        <v>97</v>
      </c>
      <c r="I314" s="292" t="s">
        <v>1318</v>
      </c>
      <c r="J314" s="293" t="s">
        <v>1319</v>
      </c>
      <c r="K314" s="293"/>
      <c r="L314" s="293" t="s">
        <v>1159</v>
      </c>
      <c r="M314" s="293" t="s">
        <v>1817</v>
      </c>
      <c r="N314" s="295">
        <v>1309</v>
      </c>
      <c r="O314" s="296" t="s">
        <v>673</v>
      </c>
      <c r="P314" s="295">
        <v>0</v>
      </c>
      <c r="Q314" s="295">
        <v>0</v>
      </c>
      <c r="R314" s="295">
        <v>0</v>
      </c>
      <c r="S314" s="295">
        <v>1339</v>
      </c>
      <c r="T314" s="295">
        <v>1339</v>
      </c>
      <c r="U314" s="295">
        <v>30</v>
      </c>
      <c r="V314" s="295">
        <v>10</v>
      </c>
      <c r="W314" s="295">
        <v>5.5</v>
      </c>
      <c r="X314" s="295">
        <v>5</v>
      </c>
      <c r="Y314" s="295">
        <v>18</v>
      </c>
      <c r="Z314" s="295">
        <v>0</v>
      </c>
      <c r="AA314" s="295">
        <v>70</v>
      </c>
      <c r="AB314" s="295">
        <v>35</v>
      </c>
      <c r="AC314" s="295">
        <v>0</v>
      </c>
      <c r="AD314" s="295">
        <v>0</v>
      </c>
      <c r="AE314" s="295">
        <v>0</v>
      </c>
      <c r="AF314" s="295">
        <v>0</v>
      </c>
      <c r="AG314" s="295">
        <v>0</v>
      </c>
      <c r="AH314" s="295">
        <v>1512.5</v>
      </c>
      <c r="AI314" s="362"/>
    </row>
    <row r="315" spans="1:35" ht="13.5" customHeight="1">
      <c r="A315" s="291">
        <v>11225</v>
      </c>
      <c r="B315" s="291">
        <v>42949</v>
      </c>
      <c r="C315" s="292" t="s">
        <v>1320</v>
      </c>
      <c r="D315" s="293" t="s">
        <v>171</v>
      </c>
      <c r="E315" s="293" t="str">
        <f t="shared" si="4"/>
        <v>F</v>
      </c>
      <c r="F315" s="293" t="s">
        <v>126</v>
      </c>
      <c r="G315" s="294">
        <v>825</v>
      </c>
      <c r="H315" s="292" t="s">
        <v>97</v>
      </c>
      <c r="I315" s="292" t="s">
        <v>1321</v>
      </c>
      <c r="J315" s="293" t="s">
        <v>1013</v>
      </c>
      <c r="K315" s="293"/>
      <c r="L315" s="293" t="s">
        <v>436</v>
      </c>
      <c r="M315" s="293" t="s">
        <v>1941</v>
      </c>
      <c r="N315" s="295">
        <v>1309</v>
      </c>
      <c r="O315" s="296" t="s">
        <v>673</v>
      </c>
      <c r="P315" s="295">
        <v>0</v>
      </c>
      <c r="Q315" s="295">
        <v>0</v>
      </c>
      <c r="R315" s="295">
        <v>0</v>
      </c>
      <c r="S315" s="295">
        <v>1369</v>
      </c>
      <c r="T315" s="295">
        <v>1369</v>
      </c>
      <c r="U315" s="295">
        <v>30</v>
      </c>
      <c r="V315" s="295">
        <v>10</v>
      </c>
      <c r="W315" s="295">
        <v>5.5</v>
      </c>
      <c r="X315" s="295">
        <v>5</v>
      </c>
      <c r="Y315" s="295">
        <v>18</v>
      </c>
      <c r="Z315" s="295">
        <v>0</v>
      </c>
      <c r="AA315" s="295">
        <v>70</v>
      </c>
      <c r="AB315" s="295">
        <v>0</v>
      </c>
      <c r="AC315" s="295">
        <v>0</v>
      </c>
      <c r="AD315" s="295">
        <v>0</v>
      </c>
      <c r="AE315" s="295">
        <v>0</v>
      </c>
      <c r="AF315" s="295">
        <v>0</v>
      </c>
      <c r="AG315" s="295">
        <v>0</v>
      </c>
      <c r="AH315" s="295">
        <v>1507.5</v>
      </c>
      <c r="AI315" s="362"/>
    </row>
    <row r="316" spans="1:35" ht="13.5" customHeight="1">
      <c r="A316" s="291">
        <v>32082</v>
      </c>
      <c r="B316" s="291">
        <v>43113</v>
      </c>
      <c r="C316" s="292" t="s">
        <v>1322</v>
      </c>
      <c r="D316" s="293" t="s">
        <v>691</v>
      </c>
      <c r="E316" s="293" t="str">
        <f t="shared" si="4"/>
        <v>G</v>
      </c>
      <c r="F316" s="293" t="s">
        <v>126</v>
      </c>
      <c r="G316" s="294">
        <v>825</v>
      </c>
      <c r="H316" s="292" t="s">
        <v>97</v>
      </c>
      <c r="I316" s="292" t="s">
        <v>2009</v>
      </c>
      <c r="J316" s="293" t="s">
        <v>830</v>
      </c>
      <c r="K316" s="293"/>
      <c r="L316" s="293" t="s">
        <v>830</v>
      </c>
      <c r="M316" s="293" t="s">
        <v>1944</v>
      </c>
      <c r="N316" s="295">
        <v>1379</v>
      </c>
      <c r="O316" s="296" t="s">
        <v>673</v>
      </c>
      <c r="P316" s="295">
        <v>0</v>
      </c>
      <c r="Q316" s="295">
        <v>0</v>
      </c>
      <c r="R316" s="295">
        <v>-680</v>
      </c>
      <c r="S316" s="295">
        <v>1169</v>
      </c>
      <c r="T316" s="295">
        <v>1169</v>
      </c>
      <c r="U316" s="295">
        <v>30</v>
      </c>
      <c r="V316" s="295">
        <v>10</v>
      </c>
      <c r="W316" s="295">
        <v>5.5</v>
      </c>
      <c r="X316" s="295">
        <v>5</v>
      </c>
      <c r="Y316" s="295">
        <v>18</v>
      </c>
      <c r="Z316" s="295">
        <v>0</v>
      </c>
      <c r="AA316" s="295">
        <v>70</v>
      </c>
      <c r="AB316" s="295">
        <v>0</v>
      </c>
      <c r="AC316" s="295">
        <v>0</v>
      </c>
      <c r="AD316" s="295">
        <v>0</v>
      </c>
      <c r="AE316" s="295">
        <v>0</v>
      </c>
      <c r="AF316" s="295">
        <v>0</v>
      </c>
      <c r="AG316" s="295">
        <v>0</v>
      </c>
      <c r="AH316" s="295">
        <v>1307.5</v>
      </c>
      <c r="AI316" s="362"/>
    </row>
    <row r="317" spans="1:35" ht="13.5" customHeight="1">
      <c r="A317" s="291">
        <v>32062</v>
      </c>
      <c r="B317" s="291">
        <v>43083</v>
      </c>
      <c r="C317" s="292" t="s">
        <v>1323</v>
      </c>
      <c r="D317" s="293" t="s">
        <v>691</v>
      </c>
      <c r="E317" s="293" t="str">
        <f t="shared" si="4"/>
        <v>G</v>
      </c>
      <c r="F317" s="293" t="s">
        <v>126</v>
      </c>
      <c r="G317" s="294">
        <v>825</v>
      </c>
      <c r="H317" s="292" t="s">
        <v>97</v>
      </c>
      <c r="I317" s="292" t="s">
        <v>2010</v>
      </c>
      <c r="J317" s="293" t="s">
        <v>2011</v>
      </c>
      <c r="K317" s="293"/>
      <c r="L317" s="293" t="s">
        <v>2011</v>
      </c>
      <c r="M317" s="293" t="s">
        <v>2012</v>
      </c>
      <c r="N317" s="295">
        <v>1379</v>
      </c>
      <c r="O317" s="296" t="s">
        <v>673</v>
      </c>
      <c r="P317" s="295">
        <v>0</v>
      </c>
      <c r="Q317" s="295">
        <v>0</v>
      </c>
      <c r="R317" s="295">
        <v>0</v>
      </c>
      <c r="S317" s="295">
        <v>1219</v>
      </c>
      <c r="T317" s="295">
        <v>1219</v>
      </c>
      <c r="U317" s="295">
        <v>30</v>
      </c>
      <c r="V317" s="295">
        <v>10</v>
      </c>
      <c r="W317" s="295">
        <v>5</v>
      </c>
      <c r="X317" s="295">
        <v>5</v>
      </c>
      <c r="Y317" s="295">
        <v>18</v>
      </c>
      <c r="Z317" s="295">
        <v>0</v>
      </c>
      <c r="AA317" s="295">
        <v>70</v>
      </c>
      <c r="AB317" s="295">
        <v>0</v>
      </c>
      <c r="AC317" s="295">
        <v>0</v>
      </c>
      <c r="AD317" s="295">
        <v>0</v>
      </c>
      <c r="AE317" s="295">
        <v>0</v>
      </c>
      <c r="AF317" s="295">
        <v>0</v>
      </c>
      <c r="AG317" s="295">
        <v>0</v>
      </c>
      <c r="AH317" s="295">
        <v>1357</v>
      </c>
      <c r="AI317" s="362"/>
    </row>
    <row r="318" spans="1:35" ht="13.5" customHeight="1">
      <c r="A318" s="291">
        <v>11359</v>
      </c>
      <c r="B318" s="291">
        <v>42638</v>
      </c>
      <c r="C318" s="292" t="s">
        <v>1325</v>
      </c>
      <c r="D318" s="293" t="s">
        <v>180</v>
      </c>
      <c r="E318" s="293" t="str">
        <f t="shared" si="4"/>
        <v>Q</v>
      </c>
      <c r="F318" s="293" t="s">
        <v>126</v>
      </c>
      <c r="G318" s="294">
        <v>825</v>
      </c>
      <c r="H318" s="292" t="s">
        <v>97</v>
      </c>
      <c r="I318" s="292" t="s">
        <v>1326</v>
      </c>
      <c r="J318" s="293" t="s">
        <v>1327</v>
      </c>
      <c r="K318" s="293"/>
      <c r="L318" s="293" t="s">
        <v>1327</v>
      </c>
      <c r="M318" s="293" t="s">
        <v>466</v>
      </c>
      <c r="N318" s="295">
        <v>1419</v>
      </c>
      <c r="O318" s="296" t="s">
        <v>673</v>
      </c>
      <c r="P318" s="295">
        <v>0</v>
      </c>
      <c r="Q318" s="295">
        <v>0</v>
      </c>
      <c r="R318" s="295">
        <v>0</v>
      </c>
      <c r="S318" s="295">
        <v>1449</v>
      </c>
      <c r="T318" s="295">
        <v>1449</v>
      </c>
      <c r="U318" s="295">
        <v>30</v>
      </c>
      <c r="V318" s="295">
        <v>10</v>
      </c>
      <c r="W318" s="295">
        <v>5.5</v>
      </c>
      <c r="X318" s="295">
        <v>5</v>
      </c>
      <c r="Y318" s="295">
        <v>0</v>
      </c>
      <c r="Z318" s="295">
        <v>15</v>
      </c>
      <c r="AA318" s="295">
        <v>0</v>
      </c>
      <c r="AB318" s="295">
        <v>0</v>
      </c>
      <c r="AC318" s="295">
        <v>0</v>
      </c>
      <c r="AD318" s="295">
        <v>0</v>
      </c>
      <c r="AE318" s="295">
        <v>0</v>
      </c>
      <c r="AF318" s="295">
        <v>0</v>
      </c>
      <c r="AG318" s="295">
        <v>0</v>
      </c>
      <c r="AH318" s="295">
        <v>1514.5</v>
      </c>
      <c r="AI318" s="362"/>
    </row>
    <row r="319" spans="1:35" ht="13.5" customHeight="1">
      <c r="A319" s="291">
        <v>11195</v>
      </c>
      <c r="B319" s="291">
        <v>43006</v>
      </c>
      <c r="C319" s="292" t="s">
        <v>1328</v>
      </c>
      <c r="D319" s="293" t="s">
        <v>691</v>
      </c>
      <c r="E319" s="293" t="str">
        <f t="shared" si="4"/>
        <v>G</v>
      </c>
      <c r="F319" s="293" t="s">
        <v>126</v>
      </c>
      <c r="G319" s="294">
        <v>825</v>
      </c>
      <c r="H319" s="292" t="s">
        <v>97</v>
      </c>
      <c r="I319" s="292" t="s">
        <v>1329</v>
      </c>
      <c r="J319" s="293" t="s">
        <v>286</v>
      </c>
      <c r="K319" s="293"/>
      <c r="L319" s="293" t="s">
        <v>455</v>
      </c>
      <c r="M319" s="293" t="s">
        <v>2013</v>
      </c>
      <c r="N319" s="295">
        <v>1379</v>
      </c>
      <c r="O319" s="296" t="s">
        <v>673</v>
      </c>
      <c r="P319" s="295">
        <v>0</v>
      </c>
      <c r="Q319" s="295">
        <v>0</v>
      </c>
      <c r="R319" s="295">
        <v>0</v>
      </c>
      <c r="S319" s="295">
        <v>1437</v>
      </c>
      <c r="T319" s="295">
        <v>1437</v>
      </c>
      <c r="U319" s="295">
        <v>30</v>
      </c>
      <c r="V319" s="295">
        <v>10</v>
      </c>
      <c r="W319" s="295">
        <v>5.5</v>
      </c>
      <c r="X319" s="295">
        <v>5</v>
      </c>
      <c r="Y319" s="295">
        <v>18</v>
      </c>
      <c r="Z319" s="295">
        <v>15</v>
      </c>
      <c r="AA319" s="295">
        <v>70</v>
      </c>
      <c r="AB319" s="295">
        <v>0</v>
      </c>
      <c r="AC319" s="295">
        <v>0</v>
      </c>
      <c r="AD319" s="295">
        <v>0</v>
      </c>
      <c r="AE319" s="295">
        <v>0</v>
      </c>
      <c r="AF319" s="295">
        <v>0</v>
      </c>
      <c r="AG319" s="295">
        <v>0</v>
      </c>
      <c r="AH319" s="295">
        <v>1590.5</v>
      </c>
      <c r="AI319" s="362"/>
    </row>
    <row r="320" spans="1:35" ht="13.5" customHeight="1">
      <c r="A320" s="291">
        <v>31808</v>
      </c>
      <c r="B320" s="291">
        <v>43245</v>
      </c>
      <c r="C320" s="292" t="s">
        <v>1330</v>
      </c>
      <c r="D320" s="293" t="s">
        <v>691</v>
      </c>
      <c r="E320" s="293" t="str">
        <f t="shared" si="4"/>
        <v>G</v>
      </c>
      <c r="F320" s="293" t="s">
        <v>126</v>
      </c>
      <c r="G320" s="294">
        <v>825</v>
      </c>
      <c r="H320" s="292" t="s">
        <v>97</v>
      </c>
      <c r="I320" s="292" t="s">
        <v>725</v>
      </c>
      <c r="J320" s="293" t="s">
        <v>726</v>
      </c>
      <c r="K320" s="293"/>
      <c r="L320" s="293" t="s">
        <v>726</v>
      </c>
      <c r="M320" s="293" t="s">
        <v>2022</v>
      </c>
      <c r="N320" s="295">
        <v>1299</v>
      </c>
      <c r="O320" s="296" t="s">
        <v>673</v>
      </c>
      <c r="P320" s="295">
        <v>0</v>
      </c>
      <c r="Q320" s="295">
        <v>0</v>
      </c>
      <c r="R320" s="295">
        <v>37.72</v>
      </c>
      <c r="S320" s="295">
        <v>1299</v>
      </c>
      <c r="T320" s="295">
        <v>1299</v>
      </c>
      <c r="U320" s="295">
        <v>30</v>
      </c>
      <c r="V320" s="295">
        <v>10</v>
      </c>
      <c r="W320" s="295">
        <v>5.5</v>
      </c>
      <c r="X320" s="295">
        <v>5</v>
      </c>
      <c r="Y320" s="295">
        <v>18</v>
      </c>
      <c r="Z320" s="295">
        <v>0</v>
      </c>
      <c r="AA320" s="295">
        <v>70</v>
      </c>
      <c r="AB320" s="295">
        <v>0</v>
      </c>
      <c r="AC320" s="295">
        <v>0</v>
      </c>
      <c r="AD320" s="295">
        <v>0</v>
      </c>
      <c r="AE320" s="295">
        <v>0</v>
      </c>
      <c r="AF320" s="295">
        <v>0</v>
      </c>
      <c r="AG320" s="295">
        <v>0</v>
      </c>
      <c r="AH320" s="295">
        <v>1437.5</v>
      </c>
      <c r="AI320" s="362"/>
    </row>
    <row r="321" spans="1:35" ht="13.5" customHeight="1">
      <c r="A321" s="291">
        <v>32078</v>
      </c>
      <c r="B321" s="291">
        <v>43108</v>
      </c>
      <c r="C321" s="292" t="s">
        <v>1331</v>
      </c>
      <c r="D321" s="293" t="s">
        <v>691</v>
      </c>
      <c r="E321" s="293" t="str">
        <f t="shared" si="4"/>
        <v>G</v>
      </c>
      <c r="F321" s="293" t="s">
        <v>126</v>
      </c>
      <c r="G321" s="294">
        <v>825</v>
      </c>
      <c r="H321" s="292" t="s">
        <v>97</v>
      </c>
      <c r="I321" s="292" t="s">
        <v>2014</v>
      </c>
      <c r="J321" s="293" t="s">
        <v>1169</v>
      </c>
      <c r="K321" s="293"/>
      <c r="L321" s="293" t="s">
        <v>1169</v>
      </c>
      <c r="M321" s="293" t="s">
        <v>2015</v>
      </c>
      <c r="N321" s="295">
        <v>1379</v>
      </c>
      <c r="O321" s="296" t="s">
        <v>673</v>
      </c>
      <c r="P321" s="295">
        <v>0</v>
      </c>
      <c r="Q321" s="295">
        <v>0</v>
      </c>
      <c r="R321" s="295">
        <v>0</v>
      </c>
      <c r="S321" s="295">
        <v>1209</v>
      </c>
      <c r="T321" s="295">
        <v>1209</v>
      </c>
      <c r="U321" s="295">
        <v>30</v>
      </c>
      <c r="V321" s="295">
        <v>10</v>
      </c>
      <c r="W321" s="295">
        <v>5.5</v>
      </c>
      <c r="X321" s="295">
        <v>5</v>
      </c>
      <c r="Y321" s="295">
        <v>18</v>
      </c>
      <c r="Z321" s="295">
        <v>0</v>
      </c>
      <c r="AA321" s="295">
        <v>70</v>
      </c>
      <c r="AB321" s="295">
        <v>0</v>
      </c>
      <c r="AC321" s="295">
        <v>0</v>
      </c>
      <c r="AD321" s="295">
        <v>0</v>
      </c>
      <c r="AE321" s="295">
        <v>0</v>
      </c>
      <c r="AF321" s="295">
        <v>0</v>
      </c>
      <c r="AG321" s="295">
        <v>0</v>
      </c>
      <c r="AH321" s="295">
        <v>1347.5</v>
      </c>
      <c r="AI321" s="362"/>
    </row>
    <row r="322" spans="1:35" ht="13.5" customHeight="1">
      <c r="A322" s="291">
        <v>0</v>
      </c>
      <c r="B322" s="291">
        <v>0</v>
      </c>
      <c r="C322" s="292" t="s">
        <v>1332</v>
      </c>
      <c r="D322" s="293" t="s">
        <v>147</v>
      </c>
      <c r="E322" s="293" t="str">
        <f t="shared" si="4"/>
        <v>Q</v>
      </c>
      <c r="F322" s="293" t="s">
        <v>126</v>
      </c>
      <c r="G322" s="294">
        <v>1076</v>
      </c>
      <c r="H322" s="292" t="s">
        <v>101</v>
      </c>
      <c r="I322" s="292" t="s">
        <v>682</v>
      </c>
      <c r="J322" s="293"/>
      <c r="K322" s="293"/>
      <c r="L322" s="293"/>
      <c r="M322" s="293"/>
      <c r="N322" s="295">
        <v>1659</v>
      </c>
      <c r="O322" s="296"/>
      <c r="P322" s="295">
        <v>0</v>
      </c>
      <c r="Q322" s="295">
        <v>0</v>
      </c>
      <c r="R322" s="295">
        <v>0</v>
      </c>
      <c r="S322" s="295">
        <v>0</v>
      </c>
      <c r="T322" s="295">
        <v>0</v>
      </c>
      <c r="U322" s="295">
        <v>0</v>
      </c>
      <c r="V322" s="295">
        <v>0</v>
      </c>
      <c r="W322" s="295">
        <v>0</v>
      </c>
      <c r="X322" s="295">
        <v>0</v>
      </c>
      <c r="Y322" s="295">
        <v>0</v>
      </c>
      <c r="Z322" s="295">
        <v>0</v>
      </c>
      <c r="AA322" s="295">
        <v>0</v>
      </c>
      <c r="AB322" s="295">
        <v>0</v>
      </c>
      <c r="AC322" s="295">
        <v>0</v>
      </c>
      <c r="AD322" s="295">
        <v>0</v>
      </c>
      <c r="AE322" s="295">
        <v>0</v>
      </c>
      <c r="AF322" s="295">
        <v>0</v>
      </c>
      <c r="AG322" s="295">
        <v>0</v>
      </c>
      <c r="AH322" s="295">
        <v>0</v>
      </c>
      <c r="AI322" s="362"/>
    </row>
    <row r="323" spans="1:35" ht="13.5" customHeight="1">
      <c r="A323" s="291">
        <v>31637</v>
      </c>
      <c r="B323" s="291">
        <v>42892</v>
      </c>
      <c r="C323" s="292" t="s">
        <v>1333</v>
      </c>
      <c r="D323" s="293" t="s">
        <v>153</v>
      </c>
      <c r="E323" s="293" t="str">
        <f t="shared" si="4"/>
        <v>F</v>
      </c>
      <c r="F323" s="293" t="s">
        <v>126</v>
      </c>
      <c r="G323" s="294">
        <v>1076</v>
      </c>
      <c r="H323" s="292" t="s">
        <v>97</v>
      </c>
      <c r="I323" s="292" t="s">
        <v>1334</v>
      </c>
      <c r="J323" s="293" t="s">
        <v>439</v>
      </c>
      <c r="K323" s="293"/>
      <c r="L323" s="293" t="s">
        <v>2016</v>
      </c>
      <c r="M323" s="293" t="s">
        <v>1889</v>
      </c>
      <c r="N323" s="295">
        <v>1539</v>
      </c>
      <c r="O323" s="296" t="s">
        <v>673</v>
      </c>
      <c r="P323" s="295">
        <v>0</v>
      </c>
      <c r="Q323" s="295">
        <v>0</v>
      </c>
      <c r="R323" s="295">
        <v>0</v>
      </c>
      <c r="S323" s="295">
        <v>1569</v>
      </c>
      <c r="T323" s="295">
        <v>1569</v>
      </c>
      <c r="U323" s="295">
        <v>30</v>
      </c>
      <c r="V323" s="295">
        <v>10</v>
      </c>
      <c r="W323" s="295">
        <v>5.5</v>
      </c>
      <c r="X323" s="295">
        <v>5</v>
      </c>
      <c r="Y323" s="295">
        <v>18</v>
      </c>
      <c r="Z323" s="295">
        <v>0</v>
      </c>
      <c r="AA323" s="295">
        <v>70</v>
      </c>
      <c r="AB323" s="295">
        <v>0</v>
      </c>
      <c r="AC323" s="295">
        <v>0</v>
      </c>
      <c r="AD323" s="295">
        <v>0</v>
      </c>
      <c r="AE323" s="295">
        <v>0</v>
      </c>
      <c r="AF323" s="295">
        <v>0</v>
      </c>
      <c r="AG323" s="295">
        <v>0</v>
      </c>
      <c r="AH323" s="295">
        <v>1707.5</v>
      </c>
      <c r="AI323" s="362"/>
    </row>
    <row r="324" spans="1:35">
      <c r="A324" s="291">
        <v>32132</v>
      </c>
      <c r="B324" s="291">
        <v>43199</v>
      </c>
      <c r="C324" s="292" t="s">
        <v>1336</v>
      </c>
      <c r="D324" s="293" t="s">
        <v>677</v>
      </c>
      <c r="E324" s="293" t="str">
        <f t="shared" si="4"/>
        <v>G</v>
      </c>
      <c r="F324" s="293" t="s">
        <v>126</v>
      </c>
      <c r="G324" s="294">
        <v>1076</v>
      </c>
      <c r="H324" s="292" t="s">
        <v>97</v>
      </c>
      <c r="I324" s="292" t="s">
        <v>2168</v>
      </c>
      <c r="J324" s="293" t="s">
        <v>488</v>
      </c>
      <c r="K324" s="293"/>
      <c r="L324" s="293" t="s">
        <v>488</v>
      </c>
      <c r="M324" s="293" t="s">
        <v>2106</v>
      </c>
      <c r="N324" s="295">
        <v>1609</v>
      </c>
      <c r="O324" s="296" t="s">
        <v>673</v>
      </c>
      <c r="P324" s="295">
        <v>0</v>
      </c>
      <c r="Q324" s="295">
        <v>0</v>
      </c>
      <c r="R324" s="295">
        <v>111.78</v>
      </c>
      <c r="S324" s="295">
        <v>1579</v>
      </c>
      <c r="T324" s="295">
        <v>1579</v>
      </c>
      <c r="U324" s="295">
        <v>30</v>
      </c>
      <c r="V324" s="295">
        <v>10</v>
      </c>
      <c r="W324" s="295">
        <v>5.5</v>
      </c>
      <c r="X324" s="295">
        <v>5</v>
      </c>
      <c r="Y324" s="295">
        <v>18</v>
      </c>
      <c r="Z324" s="295">
        <v>15</v>
      </c>
      <c r="AA324" s="295">
        <v>70</v>
      </c>
      <c r="AB324" s="295">
        <v>0</v>
      </c>
      <c r="AC324" s="295">
        <v>0</v>
      </c>
      <c r="AD324" s="295">
        <v>0</v>
      </c>
      <c r="AE324" s="295">
        <v>0</v>
      </c>
      <c r="AF324" s="295">
        <v>0</v>
      </c>
      <c r="AG324" s="295">
        <v>0</v>
      </c>
      <c r="AH324" s="295">
        <v>1732.5</v>
      </c>
      <c r="AI324" s="362"/>
    </row>
    <row r="325" spans="1:35" ht="13.5" customHeight="1">
      <c r="A325" s="291">
        <v>31925</v>
      </c>
      <c r="B325" s="291">
        <v>42810</v>
      </c>
      <c r="C325" s="292" t="s">
        <v>1337</v>
      </c>
      <c r="D325" s="293" t="s">
        <v>153</v>
      </c>
      <c r="E325" s="293" t="str">
        <f t="shared" si="4"/>
        <v>F</v>
      </c>
      <c r="F325" s="293" t="s">
        <v>126</v>
      </c>
      <c r="G325" s="294">
        <v>1076</v>
      </c>
      <c r="H325" s="292" t="s">
        <v>97</v>
      </c>
      <c r="I325" s="292" t="s">
        <v>1338</v>
      </c>
      <c r="J325" s="293" t="s">
        <v>1029</v>
      </c>
      <c r="K325" s="293"/>
      <c r="L325" s="293" t="s">
        <v>1029</v>
      </c>
      <c r="M325" s="293" t="s">
        <v>530</v>
      </c>
      <c r="N325" s="295">
        <v>1539</v>
      </c>
      <c r="O325" s="296" t="s">
        <v>673</v>
      </c>
      <c r="P325" s="295">
        <v>0</v>
      </c>
      <c r="Q325" s="295">
        <v>0</v>
      </c>
      <c r="R325" s="295">
        <v>0.49</v>
      </c>
      <c r="S325" s="295">
        <v>1469</v>
      </c>
      <c r="T325" s="295">
        <v>1469</v>
      </c>
      <c r="U325" s="295">
        <v>30</v>
      </c>
      <c r="V325" s="295">
        <v>10</v>
      </c>
      <c r="W325" s="295">
        <v>5.5</v>
      </c>
      <c r="X325" s="295">
        <v>5</v>
      </c>
      <c r="Y325" s="295">
        <v>18</v>
      </c>
      <c r="Z325" s="295">
        <v>30</v>
      </c>
      <c r="AA325" s="295">
        <v>70</v>
      </c>
      <c r="AB325" s="295">
        <v>0</v>
      </c>
      <c r="AC325" s="295">
        <v>0</v>
      </c>
      <c r="AD325" s="295">
        <v>0</v>
      </c>
      <c r="AE325" s="295">
        <v>0</v>
      </c>
      <c r="AF325" s="295">
        <v>0</v>
      </c>
      <c r="AG325" s="295">
        <v>0</v>
      </c>
      <c r="AH325" s="295">
        <v>1637.5</v>
      </c>
      <c r="AI325" s="362"/>
    </row>
    <row r="326" spans="1:35" ht="13.15" customHeight="1">
      <c r="A326" s="291">
        <v>11369</v>
      </c>
      <c r="B326" s="291">
        <v>43032</v>
      </c>
      <c r="C326" s="292" t="s">
        <v>1339</v>
      </c>
      <c r="D326" s="293" t="s">
        <v>677</v>
      </c>
      <c r="E326" s="293" t="str">
        <f t="shared" si="4"/>
        <v>G</v>
      </c>
      <c r="F326" s="293" t="s">
        <v>126</v>
      </c>
      <c r="G326" s="294">
        <v>1076</v>
      </c>
      <c r="H326" s="292" t="s">
        <v>97</v>
      </c>
      <c r="I326" s="292" t="s">
        <v>1340</v>
      </c>
      <c r="J326" s="293" t="s">
        <v>1341</v>
      </c>
      <c r="K326" s="293"/>
      <c r="L326" s="293" t="s">
        <v>1938</v>
      </c>
      <c r="M326" s="293" t="s">
        <v>1939</v>
      </c>
      <c r="N326" s="295">
        <v>1609</v>
      </c>
      <c r="O326" s="296" t="s">
        <v>673</v>
      </c>
      <c r="P326" s="295">
        <v>0</v>
      </c>
      <c r="Q326" s="295">
        <v>0</v>
      </c>
      <c r="R326" s="295">
        <v>0</v>
      </c>
      <c r="S326" s="295">
        <v>1639</v>
      </c>
      <c r="T326" s="295">
        <v>1639</v>
      </c>
      <c r="U326" s="295">
        <v>30</v>
      </c>
      <c r="V326" s="295">
        <v>10</v>
      </c>
      <c r="W326" s="295">
        <v>5.5</v>
      </c>
      <c r="X326" s="295">
        <v>5</v>
      </c>
      <c r="Y326" s="295">
        <v>0</v>
      </c>
      <c r="Z326" s="295">
        <v>15</v>
      </c>
      <c r="AA326" s="295">
        <v>70</v>
      </c>
      <c r="AB326" s="295">
        <v>0</v>
      </c>
      <c r="AC326" s="295">
        <v>0</v>
      </c>
      <c r="AD326" s="295">
        <v>0</v>
      </c>
      <c r="AE326" s="295">
        <v>0</v>
      </c>
      <c r="AF326" s="295">
        <v>0</v>
      </c>
      <c r="AG326" s="295">
        <v>0</v>
      </c>
      <c r="AH326" s="295">
        <v>1774.5</v>
      </c>
      <c r="AI326" s="362"/>
    </row>
    <row r="327" spans="1:35" ht="13.15" customHeight="1">
      <c r="A327" s="291">
        <v>0</v>
      </c>
      <c r="B327" s="291">
        <v>0</v>
      </c>
      <c r="C327" s="292" t="s">
        <v>1342</v>
      </c>
      <c r="D327" s="293" t="s">
        <v>147</v>
      </c>
      <c r="E327" s="293" t="str">
        <f t="shared" si="4"/>
        <v>Q</v>
      </c>
      <c r="F327" s="293" t="s">
        <v>126</v>
      </c>
      <c r="G327" s="294">
        <v>1076</v>
      </c>
      <c r="H327" s="292" t="s">
        <v>101</v>
      </c>
      <c r="I327" s="292" t="s">
        <v>682</v>
      </c>
      <c r="J327" s="293"/>
      <c r="K327" s="293"/>
      <c r="L327" s="293"/>
      <c r="M327" s="293"/>
      <c r="N327" s="295">
        <v>1659</v>
      </c>
      <c r="O327" s="296"/>
      <c r="P327" s="295">
        <v>0</v>
      </c>
      <c r="Q327" s="295">
        <v>0</v>
      </c>
      <c r="R327" s="295">
        <v>0</v>
      </c>
      <c r="S327" s="295">
        <v>0</v>
      </c>
      <c r="T327" s="295">
        <v>0</v>
      </c>
      <c r="U327" s="295">
        <v>0</v>
      </c>
      <c r="V327" s="295">
        <v>0</v>
      </c>
      <c r="W327" s="295">
        <v>0</v>
      </c>
      <c r="X327" s="295">
        <v>0</v>
      </c>
      <c r="Y327" s="295">
        <v>0</v>
      </c>
      <c r="Z327" s="295">
        <v>0</v>
      </c>
      <c r="AA327" s="295">
        <v>0</v>
      </c>
      <c r="AB327" s="295">
        <v>0</v>
      </c>
      <c r="AC327" s="295">
        <v>0</v>
      </c>
      <c r="AD327" s="295">
        <v>0</v>
      </c>
      <c r="AE327" s="295">
        <v>0</v>
      </c>
      <c r="AF327" s="295">
        <v>0</v>
      </c>
      <c r="AG327" s="295">
        <v>0</v>
      </c>
      <c r="AH327" s="295">
        <v>0</v>
      </c>
      <c r="AI327" s="362"/>
    </row>
    <row r="328" spans="1:35" ht="13.15" customHeight="1">
      <c r="A328" s="291">
        <v>31476</v>
      </c>
      <c r="B328" s="291">
        <v>42803</v>
      </c>
      <c r="C328" s="292" t="s">
        <v>1343</v>
      </c>
      <c r="D328" s="293" t="s">
        <v>153</v>
      </c>
      <c r="E328" s="293" t="str">
        <f t="shared" ref="E328:E391" si="5">RIGHT(D328,1)</f>
        <v>F</v>
      </c>
      <c r="F328" s="293" t="s">
        <v>126</v>
      </c>
      <c r="G328" s="294">
        <v>1076</v>
      </c>
      <c r="H328" s="292" t="s">
        <v>97</v>
      </c>
      <c r="I328" s="292" t="s">
        <v>1344</v>
      </c>
      <c r="J328" s="293" t="s">
        <v>498</v>
      </c>
      <c r="K328" s="293"/>
      <c r="L328" s="293" t="s">
        <v>498</v>
      </c>
      <c r="M328" s="293" t="s">
        <v>867</v>
      </c>
      <c r="N328" s="295">
        <v>1539</v>
      </c>
      <c r="O328" s="296" t="s">
        <v>673</v>
      </c>
      <c r="P328" s="295">
        <v>0</v>
      </c>
      <c r="Q328" s="295">
        <v>0</v>
      </c>
      <c r="R328" s="295">
        <v>0</v>
      </c>
      <c r="S328" s="295">
        <v>1489</v>
      </c>
      <c r="T328" s="295">
        <v>1489</v>
      </c>
      <c r="U328" s="295">
        <v>30</v>
      </c>
      <c r="V328" s="295">
        <v>10</v>
      </c>
      <c r="W328" s="295">
        <v>5.5</v>
      </c>
      <c r="X328" s="295">
        <v>5</v>
      </c>
      <c r="Y328" s="295">
        <v>18</v>
      </c>
      <c r="Z328" s="295">
        <v>0</v>
      </c>
      <c r="AA328" s="295">
        <v>70</v>
      </c>
      <c r="AB328" s="295">
        <v>35</v>
      </c>
      <c r="AC328" s="295">
        <v>0</v>
      </c>
      <c r="AD328" s="295">
        <v>0</v>
      </c>
      <c r="AE328" s="295">
        <v>0</v>
      </c>
      <c r="AF328" s="295">
        <v>0</v>
      </c>
      <c r="AG328" s="295">
        <v>0</v>
      </c>
      <c r="AH328" s="295">
        <v>1662.5</v>
      </c>
      <c r="AI328" s="362"/>
    </row>
    <row r="329" spans="1:35" ht="13.15" customHeight="1">
      <c r="A329" s="291">
        <v>31963</v>
      </c>
      <c r="B329" s="291">
        <v>42886</v>
      </c>
      <c r="C329" s="292" t="s">
        <v>1345</v>
      </c>
      <c r="D329" s="293" t="s">
        <v>147</v>
      </c>
      <c r="E329" s="293" t="str">
        <f t="shared" si="5"/>
        <v>Q</v>
      </c>
      <c r="F329" s="293" t="s">
        <v>126</v>
      </c>
      <c r="G329" s="294">
        <v>1076</v>
      </c>
      <c r="H329" s="292" t="s">
        <v>97</v>
      </c>
      <c r="I329" s="292" t="s">
        <v>1877</v>
      </c>
      <c r="J329" s="293" t="s">
        <v>425</v>
      </c>
      <c r="K329" s="293"/>
      <c r="L329" s="293" t="s">
        <v>425</v>
      </c>
      <c r="M329" s="293" t="s">
        <v>1792</v>
      </c>
      <c r="N329" s="295">
        <v>1659</v>
      </c>
      <c r="O329" s="296" t="s">
        <v>673</v>
      </c>
      <c r="P329" s="295">
        <v>0</v>
      </c>
      <c r="Q329" s="295">
        <v>0</v>
      </c>
      <c r="R329" s="295">
        <v>0</v>
      </c>
      <c r="S329" s="295">
        <v>1629</v>
      </c>
      <c r="T329" s="295">
        <v>1629</v>
      </c>
      <c r="U329" s="295">
        <v>30</v>
      </c>
      <c r="V329" s="295">
        <v>10</v>
      </c>
      <c r="W329" s="295">
        <v>5.5</v>
      </c>
      <c r="X329" s="295">
        <v>5</v>
      </c>
      <c r="Y329" s="295">
        <v>18</v>
      </c>
      <c r="Z329" s="295">
        <v>30</v>
      </c>
      <c r="AA329" s="295">
        <v>70</v>
      </c>
      <c r="AB329" s="295">
        <v>0</v>
      </c>
      <c r="AC329" s="295">
        <v>0</v>
      </c>
      <c r="AD329" s="295">
        <v>0</v>
      </c>
      <c r="AE329" s="295">
        <v>0</v>
      </c>
      <c r="AF329" s="295">
        <v>0</v>
      </c>
      <c r="AG329" s="295">
        <v>0</v>
      </c>
      <c r="AH329" s="295">
        <v>1797.5</v>
      </c>
      <c r="AI329" s="362"/>
    </row>
    <row r="330" spans="1:35" ht="13.15" customHeight="1">
      <c r="A330" s="291">
        <v>32137</v>
      </c>
      <c r="B330" s="291">
        <v>43206</v>
      </c>
      <c r="C330" s="292" t="s">
        <v>1346</v>
      </c>
      <c r="D330" s="293" t="s">
        <v>129</v>
      </c>
      <c r="E330" s="293" t="str">
        <f t="shared" si="5"/>
        <v>F</v>
      </c>
      <c r="F330" s="293" t="s">
        <v>126</v>
      </c>
      <c r="G330" s="294">
        <v>600</v>
      </c>
      <c r="H330" s="292" t="s">
        <v>97</v>
      </c>
      <c r="I330" s="292" t="s">
        <v>2169</v>
      </c>
      <c r="J330" s="293" t="s">
        <v>2092</v>
      </c>
      <c r="K330" s="293"/>
      <c r="L330" s="293" t="s">
        <v>2092</v>
      </c>
      <c r="M330" s="293" t="s">
        <v>501</v>
      </c>
      <c r="N330" s="295">
        <v>1199</v>
      </c>
      <c r="O330" s="296" t="s">
        <v>673</v>
      </c>
      <c r="P330" s="295">
        <v>0</v>
      </c>
      <c r="Q330" s="295">
        <v>0</v>
      </c>
      <c r="R330" s="295">
        <v>0</v>
      </c>
      <c r="S330" s="295">
        <v>1049</v>
      </c>
      <c r="T330" s="295">
        <v>1049</v>
      </c>
      <c r="U330" s="295">
        <v>30</v>
      </c>
      <c r="V330" s="295">
        <v>10</v>
      </c>
      <c r="W330" s="295">
        <v>5.5</v>
      </c>
      <c r="X330" s="295">
        <v>5</v>
      </c>
      <c r="Y330" s="295">
        <v>18</v>
      </c>
      <c r="Z330" s="295">
        <v>0</v>
      </c>
      <c r="AA330" s="295">
        <v>70</v>
      </c>
      <c r="AB330" s="295">
        <v>35</v>
      </c>
      <c r="AC330" s="295">
        <v>200</v>
      </c>
      <c r="AD330" s="295">
        <v>0</v>
      </c>
      <c r="AE330" s="295">
        <v>0</v>
      </c>
      <c r="AF330" s="295">
        <v>0</v>
      </c>
      <c r="AG330" s="295">
        <v>0</v>
      </c>
      <c r="AH330" s="295">
        <v>1422.5</v>
      </c>
      <c r="AI330" s="362"/>
    </row>
    <row r="331" spans="1:35" ht="13.35" customHeight="1">
      <c r="A331" s="291">
        <v>32087</v>
      </c>
      <c r="B331" s="291">
        <v>43120</v>
      </c>
      <c r="C331" s="292" t="s">
        <v>1347</v>
      </c>
      <c r="D331" s="293" t="s">
        <v>279</v>
      </c>
      <c r="E331" s="293" t="str">
        <f t="shared" si="5"/>
        <v>G</v>
      </c>
      <c r="F331" s="293" t="s">
        <v>126</v>
      </c>
      <c r="G331" s="294">
        <v>600</v>
      </c>
      <c r="H331" s="292" t="s">
        <v>97</v>
      </c>
      <c r="I331" s="292" t="s">
        <v>2017</v>
      </c>
      <c r="J331" s="293" t="s">
        <v>830</v>
      </c>
      <c r="K331" s="293"/>
      <c r="L331" s="293" t="s">
        <v>830</v>
      </c>
      <c r="M331" s="293" t="s">
        <v>1944</v>
      </c>
      <c r="N331" s="295">
        <v>1269</v>
      </c>
      <c r="O331" s="296" t="s">
        <v>673</v>
      </c>
      <c r="P331" s="295">
        <v>0</v>
      </c>
      <c r="Q331" s="295">
        <v>0</v>
      </c>
      <c r="R331" s="295">
        <v>-1257.5</v>
      </c>
      <c r="S331" s="295">
        <v>1119</v>
      </c>
      <c r="T331" s="295">
        <v>1119</v>
      </c>
      <c r="U331" s="295">
        <v>30</v>
      </c>
      <c r="V331" s="295">
        <v>10</v>
      </c>
      <c r="W331" s="295">
        <v>5.5</v>
      </c>
      <c r="X331" s="295">
        <v>5</v>
      </c>
      <c r="Y331" s="295">
        <v>18</v>
      </c>
      <c r="Z331" s="295">
        <v>0</v>
      </c>
      <c r="AA331" s="295">
        <v>70</v>
      </c>
      <c r="AB331" s="295">
        <v>0</v>
      </c>
      <c r="AC331" s="295">
        <v>0</v>
      </c>
      <c r="AD331" s="295">
        <v>0</v>
      </c>
      <c r="AE331" s="295">
        <v>0</v>
      </c>
      <c r="AF331" s="295">
        <v>0</v>
      </c>
      <c r="AG331" s="295">
        <v>0</v>
      </c>
      <c r="AH331" s="295">
        <v>1257.5</v>
      </c>
      <c r="AI331" s="362"/>
    </row>
    <row r="332" spans="1:35" ht="13.15" customHeight="1">
      <c r="A332" s="291">
        <v>0</v>
      </c>
      <c r="B332" s="291">
        <v>0</v>
      </c>
      <c r="C332" s="292" t="s">
        <v>1348</v>
      </c>
      <c r="D332" s="293" t="s">
        <v>139</v>
      </c>
      <c r="E332" s="293" t="str">
        <f t="shared" si="5"/>
        <v>Q</v>
      </c>
      <c r="F332" s="293" t="s">
        <v>126</v>
      </c>
      <c r="G332" s="294">
        <v>600</v>
      </c>
      <c r="H332" s="292" t="s">
        <v>101</v>
      </c>
      <c r="I332" s="292" t="s">
        <v>682</v>
      </c>
      <c r="J332" s="293"/>
      <c r="K332" s="293"/>
      <c r="L332" s="293"/>
      <c r="M332" s="293"/>
      <c r="N332" s="295">
        <v>1309</v>
      </c>
      <c r="O332" s="296"/>
      <c r="P332" s="295">
        <v>0</v>
      </c>
      <c r="Q332" s="295">
        <v>0</v>
      </c>
      <c r="R332" s="295">
        <v>0</v>
      </c>
      <c r="S332" s="295">
        <v>0</v>
      </c>
      <c r="T332" s="295">
        <v>0</v>
      </c>
      <c r="U332" s="295">
        <v>0</v>
      </c>
      <c r="V332" s="295">
        <v>0</v>
      </c>
      <c r="W332" s="295">
        <v>0</v>
      </c>
      <c r="X332" s="295">
        <v>0</v>
      </c>
      <c r="Y332" s="295">
        <v>0</v>
      </c>
      <c r="Z332" s="295">
        <v>0</v>
      </c>
      <c r="AA332" s="295">
        <v>0</v>
      </c>
      <c r="AB332" s="295">
        <v>0</v>
      </c>
      <c r="AC332" s="295">
        <v>0</v>
      </c>
      <c r="AD332" s="295">
        <v>0</v>
      </c>
      <c r="AE332" s="295">
        <v>0</v>
      </c>
      <c r="AF332" s="295">
        <v>0</v>
      </c>
      <c r="AG332" s="295">
        <v>0</v>
      </c>
      <c r="AH332" s="295">
        <v>0</v>
      </c>
      <c r="AI332" s="362"/>
    </row>
    <row r="333" spans="1:35">
      <c r="A333" s="291">
        <v>0</v>
      </c>
      <c r="B333" s="291">
        <v>0</v>
      </c>
      <c r="C333" s="292" t="s">
        <v>1350</v>
      </c>
      <c r="D333" s="293" t="s">
        <v>139</v>
      </c>
      <c r="E333" s="293" t="str">
        <f t="shared" si="5"/>
        <v>Q</v>
      </c>
      <c r="F333" s="293" t="s">
        <v>126</v>
      </c>
      <c r="G333" s="294">
        <v>600</v>
      </c>
      <c r="H333" s="292" t="s">
        <v>101</v>
      </c>
      <c r="I333" s="292" t="s">
        <v>682</v>
      </c>
      <c r="J333" s="293"/>
      <c r="K333" s="293"/>
      <c r="L333" s="293"/>
      <c r="M333" s="293"/>
      <c r="N333" s="295">
        <v>1309</v>
      </c>
      <c r="O333" s="296"/>
      <c r="P333" s="295">
        <v>0</v>
      </c>
      <c r="Q333" s="295">
        <v>0</v>
      </c>
      <c r="R333" s="295">
        <v>0</v>
      </c>
      <c r="S333" s="295">
        <v>0</v>
      </c>
      <c r="T333" s="295">
        <v>0</v>
      </c>
      <c r="U333" s="295">
        <v>0</v>
      </c>
      <c r="V333" s="295">
        <v>0</v>
      </c>
      <c r="W333" s="295">
        <v>0</v>
      </c>
      <c r="X333" s="295">
        <v>0</v>
      </c>
      <c r="Y333" s="295">
        <v>0</v>
      </c>
      <c r="Z333" s="295">
        <v>0</v>
      </c>
      <c r="AA333" s="295">
        <v>0</v>
      </c>
      <c r="AB333" s="295">
        <v>0</v>
      </c>
      <c r="AC333" s="295">
        <v>0</v>
      </c>
      <c r="AD333" s="295">
        <v>0</v>
      </c>
      <c r="AE333" s="295">
        <v>0</v>
      </c>
      <c r="AF333" s="295">
        <v>0</v>
      </c>
      <c r="AG333" s="295">
        <v>0</v>
      </c>
      <c r="AH333" s="295">
        <v>0</v>
      </c>
      <c r="AI333" s="362"/>
    </row>
    <row r="334" spans="1:35">
      <c r="A334" s="291">
        <v>21424</v>
      </c>
      <c r="B334" s="291">
        <v>43168</v>
      </c>
      <c r="C334" s="292" t="s">
        <v>1351</v>
      </c>
      <c r="D334" s="293" t="s">
        <v>279</v>
      </c>
      <c r="E334" s="293" t="str">
        <f t="shared" si="5"/>
        <v>G</v>
      </c>
      <c r="F334" s="293" t="s">
        <v>126</v>
      </c>
      <c r="G334" s="294">
        <v>600</v>
      </c>
      <c r="H334" s="292" t="s">
        <v>97</v>
      </c>
      <c r="I334" s="292" t="s">
        <v>1352</v>
      </c>
      <c r="J334" s="293" t="s">
        <v>1353</v>
      </c>
      <c r="K334" s="293"/>
      <c r="L334" s="293" t="s">
        <v>2080</v>
      </c>
      <c r="M334" s="293" t="s">
        <v>2081</v>
      </c>
      <c r="N334" s="295">
        <v>1239</v>
      </c>
      <c r="O334" s="296" t="s">
        <v>673</v>
      </c>
      <c r="P334" s="295">
        <v>0</v>
      </c>
      <c r="Q334" s="295">
        <v>0</v>
      </c>
      <c r="R334" s="295">
        <v>-500</v>
      </c>
      <c r="S334" s="295">
        <v>1299</v>
      </c>
      <c r="T334" s="295">
        <v>1299</v>
      </c>
      <c r="U334" s="295">
        <v>30</v>
      </c>
      <c r="V334" s="295">
        <v>10</v>
      </c>
      <c r="W334" s="295">
        <v>5.5</v>
      </c>
      <c r="X334" s="295">
        <v>5</v>
      </c>
      <c r="Y334" s="295">
        <v>18</v>
      </c>
      <c r="Z334" s="295">
        <v>0</v>
      </c>
      <c r="AA334" s="295">
        <v>70</v>
      </c>
      <c r="AB334" s="295">
        <v>0</v>
      </c>
      <c r="AC334" s="295">
        <v>0</v>
      </c>
      <c r="AD334" s="295">
        <v>0</v>
      </c>
      <c r="AE334" s="295">
        <v>0</v>
      </c>
      <c r="AF334" s="295">
        <v>0</v>
      </c>
      <c r="AG334" s="295">
        <v>0</v>
      </c>
      <c r="AH334" s="295">
        <v>1437.5</v>
      </c>
      <c r="AI334" s="362"/>
    </row>
    <row r="335" spans="1:35">
      <c r="A335" s="291">
        <v>0</v>
      </c>
      <c r="B335" s="291">
        <v>0</v>
      </c>
      <c r="C335" s="292" t="s">
        <v>1354</v>
      </c>
      <c r="D335" s="293" t="s">
        <v>139</v>
      </c>
      <c r="E335" s="293" t="str">
        <f t="shared" si="5"/>
        <v>Q</v>
      </c>
      <c r="F335" s="293" t="s">
        <v>126</v>
      </c>
      <c r="G335" s="294">
        <v>600</v>
      </c>
      <c r="H335" s="292" t="s">
        <v>101</v>
      </c>
      <c r="I335" s="292" t="s">
        <v>682</v>
      </c>
      <c r="J335" s="293"/>
      <c r="K335" s="293"/>
      <c r="L335" s="293"/>
      <c r="M335" s="293"/>
      <c r="N335" s="295">
        <v>1309</v>
      </c>
      <c r="O335" s="296"/>
      <c r="P335" s="295">
        <v>0</v>
      </c>
      <c r="Q335" s="295">
        <v>0</v>
      </c>
      <c r="R335" s="295">
        <v>0</v>
      </c>
      <c r="S335" s="295">
        <v>0</v>
      </c>
      <c r="T335" s="295">
        <v>0</v>
      </c>
      <c r="U335" s="295">
        <v>0</v>
      </c>
      <c r="V335" s="295">
        <v>0</v>
      </c>
      <c r="W335" s="295">
        <v>0</v>
      </c>
      <c r="X335" s="295">
        <v>0</v>
      </c>
      <c r="Y335" s="295">
        <v>0</v>
      </c>
      <c r="Z335" s="295">
        <v>0</v>
      </c>
      <c r="AA335" s="295">
        <v>0</v>
      </c>
      <c r="AB335" s="295">
        <v>0</v>
      </c>
      <c r="AC335" s="295">
        <v>0</v>
      </c>
      <c r="AD335" s="295">
        <v>0</v>
      </c>
      <c r="AE335" s="295">
        <v>0</v>
      </c>
      <c r="AF335" s="295">
        <v>0</v>
      </c>
      <c r="AG335" s="295">
        <v>0</v>
      </c>
      <c r="AH335" s="295">
        <v>0</v>
      </c>
      <c r="AI335" s="362"/>
    </row>
    <row r="336" spans="1:35">
      <c r="A336" s="291">
        <v>148</v>
      </c>
      <c r="B336" s="291">
        <v>42802</v>
      </c>
      <c r="C336" s="292" t="s">
        <v>1356</v>
      </c>
      <c r="D336" s="293" t="s">
        <v>133</v>
      </c>
      <c r="E336" s="293" t="str">
        <f t="shared" si="5"/>
        <v>1</v>
      </c>
      <c r="F336" s="293" t="s">
        <v>126</v>
      </c>
      <c r="G336" s="294">
        <v>600</v>
      </c>
      <c r="H336" s="292" t="s">
        <v>97</v>
      </c>
      <c r="I336" s="292" t="s">
        <v>1357</v>
      </c>
      <c r="J336" s="293" t="s">
        <v>1358</v>
      </c>
      <c r="K336" s="293"/>
      <c r="L336" s="293" t="s">
        <v>1251</v>
      </c>
      <c r="M336" s="293" t="s">
        <v>1804</v>
      </c>
      <c r="N336" s="295">
        <v>1269</v>
      </c>
      <c r="O336" s="296" t="s">
        <v>673</v>
      </c>
      <c r="P336" s="295">
        <v>0</v>
      </c>
      <c r="Q336" s="295">
        <v>0</v>
      </c>
      <c r="R336" s="295">
        <v>0</v>
      </c>
      <c r="S336" s="295">
        <v>1309</v>
      </c>
      <c r="T336" s="295">
        <v>1309</v>
      </c>
      <c r="U336" s="295">
        <v>30</v>
      </c>
      <c r="V336" s="295">
        <v>10</v>
      </c>
      <c r="W336" s="295">
        <v>5.5</v>
      </c>
      <c r="X336" s="295">
        <v>5</v>
      </c>
      <c r="Y336" s="295">
        <v>18</v>
      </c>
      <c r="Z336" s="295">
        <v>0</v>
      </c>
      <c r="AA336" s="295">
        <v>70</v>
      </c>
      <c r="AB336" s="295">
        <v>0</v>
      </c>
      <c r="AC336" s="295">
        <v>0</v>
      </c>
      <c r="AD336" s="295">
        <v>0</v>
      </c>
      <c r="AE336" s="295">
        <v>0</v>
      </c>
      <c r="AF336" s="295">
        <v>0</v>
      </c>
      <c r="AG336" s="295">
        <v>0</v>
      </c>
      <c r="AH336" s="295">
        <v>1447.5</v>
      </c>
      <c r="AI336" s="362"/>
    </row>
    <row r="337" spans="1:35">
      <c r="A337" s="291">
        <v>31703</v>
      </c>
      <c r="B337" s="291">
        <v>43128</v>
      </c>
      <c r="C337" s="292" t="s">
        <v>1359</v>
      </c>
      <c r="D337" s="293" t="s">
        <v>139</v>
      </c>
      <c r="E337" s="293" t="str">
        <f t="shared" si="5"/>
        <v>Q</v>
      </c>
      <c r="F337" s="293" t="s">
        <v>126</v>
      </c>
      <c r="G337" s="294">
        <v>600</v>
      </c>
      <c r="H337" s="292" t="s">
        <v>97</v>
      </c>
      <c r="I337" s="292" t="s">
        <v>1360</v>
      </c>
      <c r="J337" s="293" t="s">
        <v>359</v>
      </c>
      <c r="K337" s="293"/>
      <c r="L337" s="293" t="s">
        <v>2160</v>
      </c>
      <c r="M337" s="293" t="s">
        <v>1988</v>
      </c>
      <c r="N337" s="295">
        <v>1309</v>
      </c>
      <c r="O337" s="296" t="s">
        <v>673</v>
      </c>
      <c r="P337" s="295">
        <v>0</v>
      </c>
      <c r="Q337" s="295">
        <v>0</v>
      </c>
      <c r="R337" s="295">
        <v>0</v>
      </c>
      <c r="S337" s="295">
        <v>1329</v>
      </c>
      <c r="T337" s="295">
        <v>1329</v>
      </c>
      <c r="U337" s="295">
        <v>30</v>
      </c>
      <c r="V337" s="295">
        <v>10</v>
      </c>
      <c r="W337" s="295">
        <v>5.5</v>
      </c>
      <c r="X337" s="295">
        <v>5</v>
      </c>
      <c r="Y337" s="295">
        <v>18</v>
      </c>
      <c r="Z337" s="295">
        <v>0</v>
      </c>
      <c r="AA337" s="295">
        <v>70</v>
      </c>
      <c r="AB337" s="295">
        <v>0</v>
      </c>
      <c r="AC337" s="295">
        <v>0</v>
      </c>
      <c r="AD337" s="295">
        <v>0</v>
      </c>
      <c r="AE337" s="295">
        <v>0</v>
      </c>
      <c r="AF337" s="295">
        <v>0</v>
      </c>
      <c r="AG337" s="295">
        <v>0</v>
      </c>
      <c r="AH337" s="295">
        <v>1467.5</v>
      </c>
      <c r="AI337" s="362"/>
    </row>
    <row r="338" spans="1:35">
      <c r="A338" s="291">
        <v>32063</v>
      </c>
      <c r="B338" s="291">
        <v>43084</v>
      </c>
      <c r="C338" s="292" t="s">
        <v>1361</v>
      </c>
      <c r="D338" s="293" t="s">
        <v>167</v>
      </c>
      <c r="E338" s="293" t="str">
        <f t="shared" si="5"/>
        <v>Q</v>
      </c>
      <c r="F338" s="293" t="s">
        <v>126</v>
      </c>
      <c r="G338" s="294">
        <v>700</v>
      </c>
      <c r="H338" s="292" t="s">
        <v>97</v>
      </c>
      <c r="I338" s="292" t="s">
        <v>2018</v>
      </c>
      <c r="J338" s="293" t="s">
        <v>461</v>
      </c>
      <c r="K338" s="293"/>
      <c r="L338" s="293" t="s">
        <v>461</v>
      </c>
      <c r="M338" s="293" t="s">
        <v>2019</v>
      </c>
      <c r="N338" s="295">
        <v>1359</v>
      </c>
      <c r="O338" s="296" t="s">
        <v>673</v>
      </c>
      <c r="P338" s="295">
        <v>0</v>
      </c>
      <c r="Q338" s="295">
        <v>0</v>
      </c>
      <c r="R338" s="295">
        <v>100.97</v>
      </c>
      <c r="S338" s="295">
        <v>1289</v>
      </c>
      <c r="T338" s="295">
        <v>1289</v>
      </c>
      <c r="U338" s="295">
        <v>30</v>
      </c>
      <c r="V338" s="295">
        <v>10</v>
      </c>
      <c r="W338" s="295">
        <v>5.5</v>
      </c>
      <c r="X338" s="295">
        <v>5</v>
      </c>
      <c r="Y338" s="295">
        <v>18</v>
      </c>
      <c r="Z338" s="295">
        <v>0</v>
      </c>
      <c r="AA338" s="295">
        <v>70</v>
      </c>
      <c r="AB338" s="295">
        <v>0</v>
      </c>
      <c r="AC338" s="295">
        <v>0</v>
      </c>
      <c r="AD338" s="295">
        <v>0</v>
      </c>
      <c r="AE338" s="295">
        <v>0</v>
      </c>
      <c r="AF338" s="295">
        <v>0</v>
      </c>
      <c r="AG338" s="295">
        <v>0</v>
      </c>
      <c r="AH338" s="295">
        <v>1427.5</v>
      </c>
      <c r="AI338" s="362"/>
    </row>
    <row r="339" spans="1:35">
      <c r="A339" s="291">
        <v>10950</v>
      </c>
      <c r="B339" s="291">
        <v>43110</v>
      </c>
      <c r="C339" s="292" t="s">
        <v>1363</v>
      </c>
      <c r="D339" s="293" t="s">
        <v>167</v>
      </c>
      <c r="E339" s="293" t="str">
        <f t="shared" si="5"/>
        <v>Q</v>
      </c>
      <c r="F339" s="293" t="s">
        <v>126</v>
      </c>
      <c r="G339" s="294">
        <v>700</v>
      </c>
      <c r="H339" s="292" t="s">
        <v>97</v>
      </c>
      <c r="I339" s="292" t="s">
        <v>1364</v>
      </c>
      <c r="J339" s="293" t="s">
        <v>1221</v>
      </c>
      <c r="K339" s="293"/>
      <c r="L339" s="293" t="s">
        <v>2008</v>
      </c>
      <c r="M339" s="293" t="s">
        <v>2081</v>
      </c>
      <c r="N339" s="295">
        <v>1359</v>
      </c>
      <c r="O339" s="296" t="s">
        <v>673</v>
      </c>
      <c r="P339" s="295">
        <v>0</v>
      </c>
      <c r="Q339" s="295">
        <v>0</v>
      </c>
      <c r="R339" s="295">
        <v>-1671.04</v>
      </c>
      <c r="S339" s="295">
        <v>1450</v>
      </c>
      <c r="T339" s="295">
        <v>1450</v>
      </c>
      <c r="U339" s="295">
        <v>30</v>
      </c>
      <c r="V339" s="295">
        <v>10</v>
      </c>
      <c r="W339" s="295">
        <v>5.5</v>
      </c>
      <c r="X339" s="295">
        <v>5</v>
      </c>
      <c r="Y339" s="295">
        <v>18</v>
      </c>
      <c r="Z339" s="295">
        <v>0</v>
      </c>
      <c r="AA339" s="295">
        <v>70</v>
      </c>
      <c r="AB339" s="295">
        <v>35</v>
      </c>
      <c r="AC339" s="295">
        <v>0</v>
      </c>
      <c r="AD339" s="295">
        <v>0</v>
      </c>
      <c r="AE339" s="295">
        <v>0</v>
      </c>
      <c r="AF339" s="295">
        <v>0</v>
      </c>
      <c r="AG339" s="295">
        <v>0</v>
      </c>
      <c r="AH339" s="295">
        <v>1623.5</v>
      </c>
      <c r="AI339" s="362"/>
    </row>
    <row r="340" spans="1:35">
      <c r="A340" s="291">
        <v>0</v>
      </c>
      <c r="B340" s="291">
        <v>0</v>
      </c>
      <c r="C340" s="292" t="s">
        <v>1365</v>
      </c>
      <c r="D340" s="293" t="s">
        <v>167</v>
      </c>
      <c r="E340" s="293" t="str">
        <f t="shared" si="5"/>
        <v>Q</v>
      </c>
      <c r="F340" s="293" t="s">
        <v>126</v>
      </c>
      <c r="G340" s="294">
        <v>700</v>
      </c>
      <c r="H340" s="292" t="s">
        <v>101</v>
      </c>
      <c r="I340" s="292" t="s">
        <v>682</v>
      </c>
      <c r="J340" s="293"/>
      <c r="K340" s="293"/>
      <c r="L340" s="293"/>
      <c r="M340" s="293"/>
      <c r="N340" s="295">
        <v>1359</v>
      </c>
      <c r="O340" s="296"/>
      <c r="P340" s="295">
        <v>0</v>
      </c>
      <c r="Q340" s="295">
        <v>0</v>
      </c>
      <c r="R340" s="295">
        <v>0</v>
      </c>
      <c r="S340" s="295">
        <v>0</v>
      </c>
      <c r="T340" s="295">
        <v>0</v>
      </c>
      <c r="U340" s="295">
        <v>0</v>
      </c>
      <c r="V340" s="295">
        <v>0</v>
      </c>
      <c r="W340" s="295">
        <v>0</v>
      </c>
      <c r="X340" s="295">
        <v>0</v>
      </c>
      <c r="Y340" s="295">
        <v>0</v>
      </c>
      <c r="Z340" s="295">
        <v>0</v>
      </c>
      <c r="AA340" s="295">
        <v>0</v>
      </c>
      <c r="AB340" s="295">
        <v>0</v>
      </c>
      <c r="AC340" s="295">
        <v>0</v>
      </c>
      <c r="AD340" s="295">
        <v>0</v>
      </c>
      <c r="AE340" s="295">
        <v>0</v>
      </c>
      <c r="AF340" s="295">
        <v>0</v>
      </c>
      <c r="AG340" s="295">
        <v>0</v>
      </c>
      <c r="AH340" s="295">
        <v>0</v>
      </c>
      <c r="AI340" s="362"/>
    </row>
    <row r="341" spans="1:35">
      <c r="A341" s="291">
        <v>32086</v>
      </c>
      <c r="B341" s="291">
        <v>43118</v>
      </c>
      <c r="C341" s="292" t="s">
        <v>1366</v>
      </c>
      <c r="D341" s="293" t="s">
        <v>164</v>
      </c>
      <c r="E341" s="293" t="str">
        <f t="shared" si="5"/>
        <v>F</v>
      </c>
      <c r="F341" s="293" t="s">
        <v>126</v>
      </c>
      <c r="G341" s="294">
        <v>700</v>
      </c>
      <c r="H341" s="292" t="s">
        <v>97</v>
      </c>
      <c r="I341" s="292" t="s">
        <v>2021</v>
      </c>
      <c r="J341" s="293" t="s">
        <v>461</v>
      </c>
      <c r="K341" s="293"/>
      <c r="L341" s="293" t="s">
        <v>461</v>
      </c>
      <c r="M341" s="293" t="s">
        <v>2022</v>
      </c>
      <c r="N341" s="295">
        <v>1249</v>
      </c>
      <c r="O341" s="296" t="s">
        <v>673</v>
      </c>
      <c r="P341" s="295">
        <v>0</v>
      </c>
      <c r="Q341" s="295">
        <v>0</v>
      </c>
      <c r="R341" s="295">
        <v>3830.38</v>
      </c>
      <c r="S341" s="295">
        <v>1179</v>
      </c>
      <c r="T341" s="295">
        <v>1179</v>
      </c>
      <c r="U341" s="295">
        <v>30</v>
      </c>
      <c r="V341" s="295">
        <v>10</v>
      </c>
      <c r="W341" s="295">
        <v>5.5</v>
      </c>
      <c r="X341" s="295">
        <v>5</v>
      </c>
      <c r="Y341" s="295">
        <v>18</v>
      </c>
      <c r="Z341" s="295">
        <v>0</v>
      </c>
      <c r="AA341" s="295">
        <v>70</v>
      </c>
      <c r="AB341" s="295">
        <v>0</v>
      </c>
      <c r="AC341" s="295">
        <v>0</v>
      </c>
      <c r="AD341" s="295">
        <v>0</v>
      </c>
      <c r="AE341" s="295">
        <v>0</v>
      </c>
      <c r="AF341" s="295">
        <v>0</v>
      </c>
      <c r="AG341" s="295">
        <v>0</v>
      </c>
      <c r="AH341" s="295">
        <v>1317.5</v>
      </c>
      <c r="AI341" s="362"/>
    </row>
    <row r="342" spans="1:35">
      <c r="A342" s="291">
        <v>80</v>
      </c>
      <c r="B342" s="291">
        <v>42744</v>
      </c>
      <c r="C342" s="292" t="s">
        <v>1367</v>
      </c>
      <c r="D342" s="293" t="s">
        <v>166</v>
      </c>
      <c r="E342" s="293" t="str">
        <f t="shared" si="5"/>
        <v>2</v>
      </c>
      <c r="F342" s="293" t="s">
        <v>126</v>
      </c>
      <c r="G342" s="294">
        <v>700</v>
      </c>
      <c r="H342" s="292" t="s">
        <v>97</v>
      </c>
      <c r="I342" s="292" t="s">
        <v>1368</v>
      </c>
      <c r="J342" s="293" t="s">
        <v>1369</v>
      </c>
      <c r="K342" s="293"/>
      <c r="L342" s="293" t="s">
        <v>1113</v>
      </c>
      <c r="M342" s="293" t="s">
        <v>1813</v>
      </c>
      <c r="N342" s="295">
        <v>1349</v>
      </c>
      <c r="O342" s="296" t="s">
        <v>673</v>
      </c>
      <c r="P342" s="295">
        <v>500</v>
      </c>
      <c r="Q342" s="295">
        <v>500</v>
      </c>
      <c r="R342" s="295">
        <v>0</v>
      </c>
      <c r="S342" s="295">
        <v>1379</v>
      </c>
      <c r="T342" s="295">
        <v>1379</v>
      </c>
      <c r="U342" s="295">
        <v>30</v>
      </c>
      <c r="V342" s="295">
        <v>10</v>
      </c>
      <c r="W342" s="295">
        <v>5.5</v>
      </c>
      <c r="X342" s="295">
        <v>5</v>
      </c>
      <c r="Y342" s="295">
        <v>0</v>
      </c>
      <c r="Z342" s="295">
        <v>15</v>
      </c>
      <c r="AA342" s="295">
        <v>0</v>
      </c>
      <c r="AB342" s="295">
        <v>0</v>
      </c>
      <c r="AC342" s="295">
        <v>0</v>
      </c>
      <c r="AD342" s="295">
        <v>0</v>
      </c>
      <c r="AE342" s="295">
        <v>0</v>
      </c>
      <c r="AF342" s="295">
        <v>0</v>
      </c>
      <c r="AG342" s="295">
        <v>0</v>
      </c>
      <c r="AH342" s="295">
        <v>1444.5</v>
      </c>
      <c r="AI342" s="362"/>
    </row>
    <row r="343" spans="1:35">
      <c r="A343" s="291">
        <v>32149</v>
      </c>
      <c r="B343" s="291">
        <v>43239</v>
      </c>
      <c r="C343" s="292" t="s">
        <v>1370</v>
      </c>
      <c r="D343" s="293" t="s">
        <v>167</v>
      </c>
      <c r="E343" s="293" t="str">
        <f t="shared" si="5"/>
        <v>Q</v>
      </c>
      <c r="F343" s="293" t="s">
        <v>126</v>
      </c>
      <c r="G343" s="294">
        <v>700</v>
      </c>
      <c r="H343" s="292" t="s">
        <v>97</v>
      </c>
      <c r="I343" s="292" t="s">
        <v>2170</v>
      </c>
      <c r="J343" s="293" t="s">
        <v>1568</v>
      </c>
      <c r="K343" s="293"/>
      <c r="L343" s="293" t="s">
        <v>1568</v>
      </c>
      <c r="M343" s="293" t="s">
        <v>2171</v>
      </c>
      <c r="N343" s="295">
        <v>1259</v>
      </c>
      <c r="O343" s="296" t="s">
        <v>673</v>
      </c>
      <c r="P343" s="295">
        <v>0</v>
      </c>
      <c r="Q343" s="295">
        <v>0</v>
      </c>
      <c r="R343" s="295">
        <v>-0.03</v>
      </c>
      <c r="S343" s="295">
        <v>1259</v>
      </c>
      <c r="T343" s="295">
        <v>1259</v>
      </c>
      <c r="U343" s="295">
        <v>30</v>
      </c>
      <c r="V343" s="295">
        <v>10</v>
      </c>
      <c r="W343" s="295">
        <v>5.5</v>
      </c>
      <c r="X343" s="295">
        <v>5</v>
      </c>
      <c r="Y343" s="295">
        <v>18</v>
      </c>
      <c r="Z343" s="295">
        <v>0</v>
      </c>
      <c r="AA343" s="295">
        <v>70</v>
      </c>
      <c r="AB343" s="295">
        <v>0</v>
      </c>
      <c r="AC343" s="295">
        <v>0</v>
      </c>
      <c r="AD343" s="295">
        <v>0</v>
      </c>
      <c r="AE343" s="295">
        <v>0</v>
      </c>
      <c r="AF343" s="295">
        <v>0</v>
      </c>
      <c r="AG343" s="295">
        <v>0</v>
      </c>
      <c r="AH343" s="295">
        <v>1397.5</v>
      </c>
      <c r="AI343" s="362"/>
    </row>
    <row r="344" spans="1:35">
      <c r="A344" s="291">
        <v>31845</v>
      </c>
      <c r="B344" s="291">
        <v>42644</v>
      </c>
      <c r="C344" s="292" t="s">
        <v>1372</v>
      </c>
      <c r="D344" s="293" t="s">
        <v>164</v>
      </c>
      <c r="E344" s="293" t="str">
        <f t="shared" si="5"/>
        <v>F</v>
      </c>
      <c r="F344" s="293" t="s">
        <v>126</v>
      </c>
      <c r="G344" s="294">
        <v>700</v>
      </c>
      <c r="H344" s="292" t="s">
        <v>142</v>
      </c>
      <c r="I344" s="292" t="s">
        <v>1373</v>
      </c>
      <c r="J344" s="293" t="s">
        <v>1374</v>
      </c>
      <c r="K344" s="293" t="s">
        <v>2172</v>
      </c>
      <c r="L344" s="293" t="s">
        <v>1374</v>
      </c>
      <c r="M344" s="293" t="s">
        <v>487</v>
      </c>
      <c r="N344" s="295">
        <v>1249</v>
      </c>
      <c r="O344" s="296" t="s">
        <v>673</v>
      </c>
      <c r="P344" s="295">
        <v>0</v>
      </c>
      <c r="Q344" s="295">
        <v>0</v>
      </c>
      <c r="R344" s="295">
        <v>0</v>
      </c>
      <c r="S344" s="295">
        <v>1279</v>
      </c>
      <c r="T344" s="295">
        <v>1279</v>
      </c>
      <c r="U344" s="295">
        <v>30</v>
      </c>
      <c r="V344" s="295">
        <v>10</v>
      </c>
      <c r="W344" s="295">
        <v>5.5</v>
      </c>
      <c r="X344" s="295">
        <v>5</v>
      </c>
      <c r="Y344" s="295">
        <v>18</v>
      </c>
      <c r="Z344" s="295">
        <v>0</v>
      </c>
      <c r="AA344" s="295">
        <v>0</v>
      </c>
      <c r="AB344" s="295">
        <v>35</v>
      </c>
      <c r="AC344" s="295">
        <v>0</v>
      </c>
      <c r="AD344" s="295">
        <v>0</v>
      </c>
      <c r="AE344" s="295">
        <v>0</v>
      </c>
      <c r="AF344" s="295">
        <v>0</v>
      </c>
      <c r="AG344" s="295">
        <v>0</v>
      </c>
      <c r="AH344" s="295">
        <v>1382.5</v>
      </c>
      <c r="AI344" s="362"/>
    </row>
    <row r="345" spans="1:35">
      <c r="A345" s="291">
        <v>31809</v>
      </c>
      <c r="B345" s="291">
        <v>43086</v>
      </c>
      <c r="C345" s="292" t="s">
        <v>1375</v>
      </c>
      <c r="D345" s="293" t="s">
        <v>164</v>
      </c>
      <c r="E345" s="293" t="str">
        <f t="shared" si="5"/>
        <v>F</v>
      </c>
      <c r="F345" s="293" t="s">
        <v>126</v>
      </c>
      <c r="G345" s="294">
        <v>700</v>
      </c>
      <c r="H345" s="292" t="s">
        <v>97</v>
      </c>
      <c r="I345" s="292" t="s">
        <v>1376</v>
      </c>
      <c r="J345" s="293" t="s">
        <v>465</v>
      </c>
      <c r="K345" s="293"/>
      <c r="L345" s="293" t="s">
        <v>2128</v>
      </c>
      <c r="M345" s="293" t="s">
        <v>2120</v>
      </c>
      <c r="N345" s="295">
        <v>1249</v>
      </c>
      <c r="O345" s="296" t="s">
        <v>673</v>
      </c>
      <c r="P345" s="295">
        <v>0</v>
      </c>
      <c r="Q345" s="295">
        <v>0</v>
      </c>
      <c r="R345" s="295">
        <v>0</v>
      </c>
      <c r="S345" s="295">
        <v>1229</v>
      </c>
      <c r="T345" s="295">
        <v>1229</v>
      </c>
      <c r="U345" s="295">
        <v>30</v>
      </c>
      <c r="V345" s="295">
        <v>10</v>
      </c>
      <c r="W345" s="295">
        <v>5.5</v>
      </c>
      <c r="X345" s="295">
        <v>5</v>
      </c>
      <c r="Y345" s="295">
        <v>18</v>
      </c>
      <c r="Z345" s="295">
        <v>0</v>
      </c>
      <c r="AA345" s="295">
        <v>70</v>
      </c>
      <c r="AB345" s="295">
        <v>0</v>
      </c>
      <c r="AC345" s="295">
        <v>0</v>
      </c>
      <c r="AD345" s="295">
        <v>0</v>
      </c>
      <c r="AE345" s="295">
        <v>0</v>
      </c>
      <c r="AF345" s="295">
        <v>0</v>
      </c>
      <c r="AG345" s="295">
        <v>0</v>
      </c>
      <c r="AH345" s="295">
        <v>1367.5</v>
      </c>
      <c r="AI345" s="362"/>
    </row>
    <row r="346" spans="1:35">
      <c r="A346" s="291">
        <v>122</v>
      </c>
      <c r="B346" s="291">
        <v>42953</v>
      </c>
      <c r="C346" s="292" t="s">
        <v>1377</v>
      </c>
      <c r="D346" s="293" t="s">
        <v>169</v>
      </c>
      <c r="E346" s="293" t="str">
        <f t="shared" si="5"/>
        <v>3</v>
      </c>
      <c r="F346" s="293" t="s">
        <v>126</v>
      </c>
      <c r="G346" s="294">
        <v>825</v>
      </c>
      <c r="H346" s="292" t="s">
        <v>97</v>
      </c>
      <c r="I346" s="292" t="s">
        <v>1378</v>
      </c>
      <c r="J346" s="293" t="s">
        <v>1379</v>
      </c>
      <c r="K346" s="293"/>
      <c r="L346" s="293" t="s">
        <v>450</v>
      </c>
      <c r="M346" s="293" t="s">
        <v>1952</v>
      </c>
      <c r="N346" s="295">
        <v>1409</v>
      </c>
      <c r="O346" s="296" t="s">
        <v>673</v>
      </c>
      <c r="P346" s="295">
        <v>250</v>
      </c>
      <c r="Q346" s="295">
        <v>250</v>
      </c>
      <c r="R346" s="295">
        <v>0</v>
      </c>
      <c r="S346" s="295">
        <v>1478</v>
      </c>
      <c r="T346" s="295">
        <v>1478</v>
      </c>
      <c r="U346" s="295">
        <v>30</v>
      </c>
      <c r="V346" s="295">
        <v>10</v>
      </c>
      <c r="W346" s="295">
        <v>5.5</v>
      </c>
      <c r="X346" s="295">
        <v>5</v>
      </c>
      <c r="Y346" s="295">
        <v>0</v>
      </c>
      <c r="Z346" s="295">
        <v>0</v>
      </c>
      <c r="AA346" s="295">
        <v>70</v>
      </c>
      <c r="AB346" s="295">
        <v>0</v>
      </c>
      <c r="AC346" s="295">
        <v>0</v>
      </c>
      <c r="AD346" s="295">
        <v>0</v>
      </c>
      <c r="AE346" s="295">
        <v>0</v>
      </c>
      <c r="AF346" s="295">
        <v>0</v>
      </c>
      <c r="AG346" s="295">
        <v>0</v>
      </c>
      <c r="AH346" s="295">
        <v>1598.5</v>
      </c>
      <c r="AI346" s="362"/>
    </row>
    <row r="347" spans="1:35">
      <c r="A347" s="291">
        <v>133</v>
      </c>
      <c r="B347" s="291">
        <v>42608</v>
      </c>
      <c r="C347" s="292" t="s">
        <v>1380</v>
      </c>
      <c r="D347" s="293" t="s">
        <v>169</v>
      </c>
      <c r="E347" s="293" t="str">
        <f t="shared" si="5"/>
        <v>3</v>
      </c>
      <c r="F347" s="293" t="s">
        <v>126</v>
      </c>
      <c r="G347" s="294">
        <v>825</v>
      </c>
      <c r="H347" s="292" t="s">
        <v>97</v>
      </c>
      <c r="I347" s="292" t="s">
        <v>1381</v>
      </c>
      <c r="J347" s="293" t="s">
        <v>1382</v>
      </c>
      <c r="K347" s="293"/>
      <c r="L347" s="293" t="s">
        <v>903</v>
      </c>
      <c r="M347" s="293" t="s">
        <v>485</v>
      </c>
      <c r="N347" s="295">
        <v>1409</v>
      </c>
      <c r="O347" s="296" t="s">
        <v>673</v>
      </c>
      <c r="P347" s="295">
        <v>0</v>
      </c>
      <c r="Q347" s="295">
        <v>0</v>
      </c>
      <c r="R347" s="295">
        <v>-1507.83</v>
      </c>
      <c r="S347" s="295">
        <v>1402</v>
      </c>
      <c r="T347" s="295">
        <v>1402</v>
      </c>
      <c r="U347" s="295">
        <v>30</v>
      </c>
      <c r="V347" s="295">
        <v>10</v>
      </c>
      <c r="W347" s="295">
        <v>5.5</v>
      </c>
      <c r="X347" s="295">
        <v>5</v>
      </c>
      <c r="Y347" s="295">
        <v>18</v>
      </c>
      <c r="Z347" s="295">
        <v>0</v>
      </c>
      <c r="AA347" s="295">
        <v>0</v>
      </c>
      <c r="AB347" s="295">
        <v>0</v>
      </c>
      <c r="AC347" s="295">
        <v>0</v>
      </c>
      <c r="AD347" s="295">
        <v>0</v>
      </c>
      <c r="AE347" s="295">
        <v>0</v>
      </c>
      <c r="AF347" s="295">
        <v>0</v>
      </c>
      <c r="AG347" s="295">
        <v>0</v>
      </c>
      <c r="AH347" s="295">
        <v>1470.5</v>
      </c>
      <c r="AI347" s="362"/>
    </row>
    <row r="348" spans="1:35">
      <c r="A348" s="291">
        <v>31816</v>
      </c>
      <c r="B348" s="291">
        <v>42588</v>
      </c>
      <c r="C348" s="292" t="s">
        <v>1383</v>
      </c>
      <c r="D348" s="293" t="s">
        <v>171</v>
      </c>
      <c r="E348" s="293" t="str">
        <f t="shared" si="5"/>
        <v>F</v>
      </c>
      <c r="F348" s="293" t="s">
        <v>126</v>
      </c>
      <c r="G348" s="294">
        <v>825</v>
      </c>
      <c r="H348" s="292" t="s">
        <v>358</v>
      </c>
      <c r="I348" s="292" t="s">
        <v>1384</v>
      </c>
      <c r="J348" s="293" t="s">
        <v>706</v>
      </c>
      <c r="K348" s="293" t="s">
        <v>1615</v>
      </c>
      <c r="L348" s="293" t="s">
        <v>706</v>
      </c>
      <c r="M348" s="293" t="s">
        <v>707</v>
      </c>
      <c r="N348" s="295">
        <v>1309</v>
      </c>
      <c r="O348" s="296" t="s">
        <v>673</v>
      </c>
      <c r="P348" s="295">
        <v>0</v>
      </c>
      <c r="Q348" s="295">
        <v>0</v>
      </c>
      <c r="R348" s="295">
        <v>0</v>
      </c>
      <c r="S348" s="295">
        <v>1309</v>
      </c>
      <c r="T348" s="295">
        <v>1309</v>
      </c>
      <c r="U348" s="295">
        <v>30</v>
      </c>
      <c r="V348" s="295">
        <v>10</v>
      </c>
      <c r="W348" s="295">
        <v>5.5</v>
      </c>
      <c r="X348" s="295">
        <v>5</v>
      </c>
      <c r="Y348" s="295">
        <v>18</v>
      </c>
      <c r="Z348" s="295">
        <v>0</v>
      </c>
      <c r="AA348" s="295">
        <v>70</v>
      </c>
      <c r="AB348" s="295">
        <v>0</v>
      </c>
      <c r="AC348" s="295">
        <v>0</v>
      </c>
      <c r="AD348" s="295">
        <v>250</v>
      </c>
      <c r="AE348" s="295">
        <v>0</v>
      </c>
      <c r="AF348" s="295">
        <v>0</v>
      </c>
      <c r="AG348" s="295">
        <v>0</v>
      </c>
      <c r="AH348" s="295">
        <v>1697.5</v>
      </c>
      <c r="AI348" s="362"/>
    </row>
    <row r="349" spans="1:35">
      <c r="A349" s="291">
        <v>32162</v>
      </c>
      <c r="B349" s="291">
        <v>43265</v>
      </c>
      <c r="C349" s="292" t="s">
        <v>1383</v>
      </c>
      <c r="D349" s="293" t="s">
        <v>171</v>
      </c>
      <c r="E349" s="293" t="str">
        <f t="shared" si="5"/>
        <v>F</v>
      </c>
      <c r="F349" s="293" t="s">
        <v>126</v>
      </c>
      <c r="G349" s="294">
        <v>825</v>
      </c>
      <c r="H349" s="292" t="s">
        <v>2082</v>
      </c>
      <c r="I349" s="292" t="s">
        <v>2173</v>
      </c>
      <c r="J349" s="293" t="s">
        <v>885</v>
      </c>
      <c r="K349" s="293"/>
      <c r="L349" s="293" t="s">
        <v>885</v>
      </c>
      <c r="M349" s="293" t="s">
        <v>2174</v>
      </c>
      <c r="N349" s="295">
        <v>0</v>
      </c>
      <c r="O349" s="296" t="s">
        <v>673</v>
      </c>
      <c r="P349" s="295">
        <v>0</v>
      </c>
      <c r="Q349" s="295">
        <v>0</v>
      </c>
      <c r="R349" s="295">
        <v>0</v>
      </c>
      <c r="S349" s="295">
        <v>1309</v>
      </c>
      <c r="T349" s="295">
        <v>1309</v>
      </c>
      <c r="U349" s="295">
        <v>30</v>
      </c>
      <c r="V349" s="295">
        <v>10</v>
      </c>
      <c r="W349" s="295">
        <v>5.5</v>
      </c>
      <c r="X349" s="295">
        <v>5</v>
      </c>
      <c r="Y349" s="295">
        <v>18</v>
      </c>
      <c r="Z349" s="295">
        <v>0</v>
      </c>
      <c r="AA349" s="295">
        <v>70</v>
      </c>
      <c r="AB349" s="295">
        <v>0</v>
      </c>
      <c r="AC349" s="295">
        <v>0</v>
      </c>
      <c r="AD349" s="295">
        <v>0</v>
      </c>
      <c r="AE349" s="295">
        <v>0</v>
      </c>
      <c r="AF349" s="295">
        <v>0</v>
      </c>
      <c r="AG349" s="295">
        <v>0</v>
      </c>
      <c r="AH349" s="295">
        <v>1447.5</v>
      </c>
      <c r="AI349" s="362"/>
    </row>
    <row r="350" spans="1:35">
      <c r="A350" s="291">
        <v>32105</v>
      </c>
      <c r="B350" s="291">
        <v>43144</v>
      </c>
      <c r="C350" s="292" t="s">
        <v>1385</v>
      </c>
      <c r="D350" s="293" t="s">
        <v>691</v>
      </c>
      <c r="E350" s="293" t="str">
        <f t="shared" si="5"/>
        <v>G</v>
      </c>
      <c r="F350" s="293" t="s">
        <v>126</v>
      </c>
      <c r="G350" s="294">
        <v>825</v>
      </c>
      <c r="H350" s="292" t="s">
        <v>97</v>
      </c>
      <c r="I350" s="292" t="s">
        <v>2175</v>
      </c>
      <c r="J350" s="293" t="s">
        <v>481</v>
      </c>
      <c r="K350" s="293"/>
      <c r="L350" s="293" t="s">
        <v>481</v>
      </c>
      <c r="M350" s="293" t="s">
        <v>1948</v>
      </c>
      <c r="N350" s="295">
        <v>1379</v>
      </c>
      <c r="O350" s="296" t="s">
        <v>673</v>
      </c>
      <c r="P350" s="295">
        <v>0</v>
      </c>
      <c r="Q350" s="295">
        <v>0</v>
      </c>
      <c r="R350" s="295">
        <v>0</v>
      </c>
      <c r="S350" s="295">
        <v>1309</v>
      </c>
      <c r="T350" s="295">
        <v>1309</v>
      </c>
      <c r="U350" s="295">
        <v>30</v>
      </c>
      <c r="V350" s="295">
        <v>10</v>
      </c>
      <c r="W350" s="295">
        <v>5.5</v>
      </c>
      <c r="X350" s="295">
        <v>5</v>
      </c>
      <c r="Y350" s="295">
        <v>18</v>
      </c>
      <c r="Z350" s="295">
        <v>0</v>
      </c>
      <c r="AA350" s="295">
        <v>70</v>
      </c>
      <c r="AB350" s="295">
        <v>0</v>
      </c>
      <c r="AC350" s="295">
        <v>0</v>
      </c>
      <c r="AD350" s="295">
        <v>0</v>
      </c>
      <c r="AE350" s="295">
        <v>0</v>
      </c>
      <c r="AF350" s="295">
        <v>0</v>
      </c>
      <c r="AG350" s="295">
        <v>0</v>
      </c>
      <c r="AH350" s="295">
        <v>1447.5</v>
      </c>
      <c r="AI350" s="362"/>
    </row>
    <row r="351" spans="1:35">
      <c r="A351" s="291">
        <v>31974</v>
      </c>
      <c r="B351" s="291">
        <v>42905</v>
      </c>
      <c r="C351" s="292" t="s">
        <v>1387</v>
      </c>
      <c r="D351" s="293" t="s">
        <v>180</v>
      </c>
      <c r="E351" s="293" t="str">
        <f t="shared" si="5"/>
        <v>Q</v>
      </c>
      <c r="F351" s="293" t="s">
        <v>126</v>
      </c>
      <c r="G351" s="294">
        <v>825</v>
      </c>
      <c r="H351" s="292" t="s">
        <v>97</v>
      </c>
      <c r="I351" s="292" t="s">
        <v>1879</v>
      </c>
      <c r="J351" s="293" t="s">
        <v>422</v>
      </c>
      <c r="K351" s="293"/>
      <c r="L351" s="293" t="s">
        <v>422</v>
      </c>
      <c r="M351" s="293" t="s">
        <v>1880</v>
      </c>
      <c r="N351" s="295">
        <v>1419</v>
      </c>
      <c r="O351" s="296" t="s">
        <v>673</v>
      </c>
      <c r="P351" s="295">
        <v>0</v>
      </c>
      <c r="Q351" s="295">
        <v>0</v>
      </c>
      <c r="R351" s="295">
        <v>0</v>
      </c>
      <c r="S351" s="295">
        <v>1389</v>
      </c>
      <c r="T351" s="295">
        <v>1389</v>
      </c>
      <c r="U351" s="295">
        <v>30</v>
      </c>
      <c r="V351" s="295">
        <v>10</v>
      </c>
      <c r="W351" s="295">
        <v>5.5</v>
      </c>
      <c r="X351" s="295">
        <v>5</v>
      </c>
      <c r="Y351" s="295">
        <v>18</v>
      </c>
      <c r="Z351" s="295">
        <v>0</v>
      </c>
      <c r="AA351" s="295">
        <v>70</v>
      </c>
      <c r="AB351" s="295">
        <v>0</v>
      </c>
      <c r="AC351" s="295">
        <v>0</v>
      </c>
      <c r="AD351" s="295">
        <v>0</v>
      </c>
      <c r="AE351" s="295">
        <v>0</v>
      </c>
      <c r="AF351" s="295">
        <v>0</v>
      </c>
      <c r="AG351" s="295">
        <v>0</v>
      </c>
      <c r="AH351" s="295">
        <v>1527.5</v>
      </c>
      <c r="AI351" s="362"/>
    </row>
    <row r="352" spans="1:35">
      <c r="A352" s="291">
        <v>32145</v>
      </c>
      <c r="B352" s="291">
        <v>43224</v>
      </c>
      <c r="C352" s="292" t="s">
        <v>1388</v>
      </c>
      <c r="D352" s="293" t="s">
        <v>691</v>
      </c>
      <c r="E352" s="293" t="str">
        <f t="shared" si="5"/>
        <v>G</v>
      </c>
      <c r="F352" s="293" t="s">
        <v>126</v>
      </c>
      <c r="G352" s="294">
        <v>825</v>
      </c>
      <c r="H352" s="292" t="s">
        <v>97</v>
      </c>
      <c r="I352" s="292" t="s">
        <v>2176</v>
      </c>
      <c r="J352" s="293" t="s">
        <v>476</v>
      </c>
      <c r="K352" s="293"/>
      <c r="L352" s="293" t="s">
        <v>476</v>
      </c>
      <c r="M352" s="293" t="s">
        <v>2110</v>
      </c>
      <c r="N352" s="295">
        <v>1239</v>
      </c>
      <c r="O352" s="296" t="s">
        <v>673</v>
      </c>
      <c r="P352" s="295">
        <v>0</v>
      </c>
      <c r="Q352" s="295">
        <v>0</v>
      </c>
      <c r="R352" s="295">
        <v>-1377.5</v>
      </c>
      <c r="S352" s="295">
        <v>1239</v>
      </c>
      <c r="T352" s="295">
        <v>1239</v>
      </c>
      <c r="U352" s="295">
        <v>30</v>
      </c>
      <c r="V352" s="295">
        <v>10</v>
      </c>
      <c r="W352" s="295">
        <v>5.5</v>
      </c>
      <c r="X352" s="295">
        <v>5</v>
      </c>
      <c r="Y352" s="295">
        <v>18</v>
      </c>
      <c r="Z352" s="295">
        <v>0</v>
      </c>
      <c r="AA352" s="295">
        <v>70</v>
      </c>
      <c r="AB352" s="295">
        <v>0</v>
      </c>
      <c r="AC352" s="295">
        <v>0</v>
      </c>
      <c r="AD352" s="295">
        <v>0</v>
      </c>
      <c r="AE352" s="295">
        <v>-1000</v>
      </c>
      <c r="AF352" s="295">
        <v>0</v>
      </c>
      <c r="AG352" s="295">
        <v>0</v>
      </c>
      <c r="AH352" s="295">
        <v>377.5</v>
      </c>
      <c r="AI352" s="362"/>
    </row>
    <row r="353" spans="1:35">
      <c r="A353" s="291">
        <v>27</v>
      </c>
      <c r="B353" s="291">
        <v>42782</v>
      </c>
      <c r="C353" s="292" t="s">
        <v>1390</v>
      </c>
      <c r="D353" s="293" t="s">
        <v>169</v>
      </c>
      <c r="E353" s="293" t="str">
        <f t="shared" si="5"/>
        <v>3</v>
      </c>
      <c r="F353" s="293" t="s">
        <v>126</v>
      </c>
      <c r="G353" s="294">
        <v>825</v>
      </c>
      <c r="H353" s="292" t="s">
        <v>97</v>
      </c>
      <c r="I353" s="292" t="s">
        <v>1391</v>
      </c>
      <c r="J353" s="293" t="s">
        <v>1392</v>
      </c>
      <c r="K353" s="293"/>
      <c r="L353" s="293" t="s">
        <v>429</v>
      </c>
      <c r="M353" s="293" t="s">
        <v>1848</v>
      </c>
      <c r="N353" s="295">
        <v>1409</v>
      </c>
      <c r="O353" s="296" t="s">
        <v>673</v>
      </c>
      <c r="P353" s="295">
        <v>350</v>
      </c>
      <c r="Q353" s="295">
        <v>350</v>
      </c>
      <c r="R353" s="295">
        <v>0</v>
      </c>
      <c r="S353" s="295">
        <v>1542</v>
      </c>
      <c r="T353" s="295">
        <v>1542</v>
      </c>
      <c r="U353" s="295">
        <v>30</v>
      </c>
      <c r="V353" s="295">
        <v>10</v>
      </c>
      <c r="W353" s="295">
        <v>5.5</v>
      </c>
      <c r="X353" s="295">
        <v>5</v>
      </c>
      <c r="Y353" s="295">
        <v>0</v>
      </c>
      <c r="Z353" s="295">
        <v>0</v>
      </c>
      <c r="AA353" s="295">
        <v>70</v>
      </c>
      <c r="AB353" s="295">
        <v>35</v>
      </c>
      <c r="AC353" s="295">
        <v>0</v>
      </c>
      <c r="AD353" s="295">
        <v>0</v>
      </c>
      <c r="AE353" s="295">
        <v>0</v>
      </c>
      <c r="AF353" s="295">
        <v>0</v>
      </c>
      <c r="AG353" s="295">
        <v>0</v>
      </c>
      <c r="AH353" s="295">
        <v>1697.5</v>
      </c>
      <c r="AI353" s="362"/>
    </row>
    <row r="354" spans="1:35">
      <c r="A354" s="291">
        <v>31818</v>
      </c>
      <c r="B354" s="291">
        <v>43192</v>
      </c>
      <c r="C354" s="292" t="s">
        <v>1393</v>
      </c>
      <c r="D354" s="293" t="s">
        <v>180</v>
      </c>
      <c r="E354" s="293" t="str">
        <f t="shared" si="5"/>
        <v>Q</v>
      </c>
      <c r="F354" s="293" t="s">
        <v>126</v>
      </c>
      <c r="G354" s="294">
        <v>825</v>
      </c>
      <c r="H354" s="292" t="s">
        <v>97</v>
      </c>
      <c r="I354" s="292" t="s">
        <v>1394</v>
      </c>
      <c r="J354" s="293" t="s">
        <v>1241</v>
      </c>
      <c r="K354" s="293"/>
      <c r="L354" s="293" t="s">
        <v>2071</v>
      </c>
      <c r="M354" s="293" t="s">
        <v>2097</v>
      </c>
      <c r="N354" s="295">
        <v>1419</v>
      </c>
      <c r="O354" s="296" t="s">
        <v>673</v>
      </c>
      <c r="P354" s="295">
        <v>0</v>
      </c>
      <c r="Q354" s="295">
        <v>0</v>
      </c>
      <c r="R354" s="295">
        <v>-515</v>
      </c>
      <c r="S354" s="295">
        <v>1488</v>
      </c>
      <c r="T354" s="295">
        <v>1488</v>
      </c>
      <c r="U354" s="295">
        <v>30</v>
      </c>
      <c r="V354" s="295">
        <v>10</v>
      </c>
      <c r="W354" s="295">
        <v>5.5</v>
      </c>
      <c r="X354" s="295">
        <v>5</v>
      </c>
      <c r="Y354" s="295">
        <v>18</v>
      </c>
      <c r="Z354" s="295">
        <v>0</v>
      </c>
      <c r="AA354" s="295">
        <v>70</v>
      </c>
      <c r="AB354" s="295">
        <v>0</v>
      </c>
      <c r="AC354" s="295">
        <v>0</v>
      </c>
      <c r="AD354" s="295">
        <v>0</v>
      </c>
      <c r="AE354" s="295">
        <v>0</v>
      </c>
      <c r="AF354" s="295">
        <v>0</v>
      </c>
      <c r="AG354" s="295">
        <v>0</v>
      </c>
      <c r="AH354" s="295">
        <v>1626.5</v>
      </c>
      <c r="AI354" s="362"/>
    </row>
    <row r="355" spans="1:35">
      <c r="A355" s="291">
        <v>31598</v>
      </c>
      <c r="B355" s="291">
        <v>42966</v>
      </c>
      <c r="C355" s="292" t="s">
        <v>1395</v>
      </c>
      <c r="D355" s="293" t="s">
        <v>677</v>
      </c>
      <c r="E355" s="293" t="str">
        <f t="shared" si="5"/>
        <v>G</v>
      </c>
      <c r="F355" s="293" t="s">
        <v>126</v>
      </c>
      <c r="G355" s="294">
        <v>1076</v>
      </c>
      <c r="H355" s="292" t="s">
        <v>97</v>
      </c>
      <c r="I355" s="292" t="s">
        <v>1396</v>
      </c>
      <c r="J355" s="293" t="s">
        <v>1397</v>
      </c>
      <c r="K355" s="293"/>
      <c r="L355" s="293" t="s">
        <v>1953</v>
      </c>
      <c r="M355" s="293" t="s">
        <v>1835</v>
      </c>
      <c r="N355" s="295">
        <v>1594</v>
      </c>
      <c r="O355" s="296" t="s">
        <v>673</v>
      </c>
      <c r="P355" s="295">
        <v>0</v>
      </c>
      <c r="Q355" s="295">
        <v>0</v>
      </c>
      <c r="R355" s="295">
        <v>0</v>
      </c>
      <c r="S355" s="295">
        <v>1624</v>
      </c>
      <c r="T355" s="295">
        <v>1624</v>
      </c>
      <c r="U355" s="295">
        <v>30</v>
      </c>
      <c r="V355" s="295">
        <v>10</v>
      </c>
      <c r="W355" s="295">
        <v>5.5</v>
      </c>
      <c r="X355" s="295">
        <v>5</v>
      </c>
      <c r="Y355" s="295">
        <v>18</v>
      </c>
      <c r="Z355" s="295">
        <v>45</v>
      </c>
      <c r="AA355" s="295">
        <v>70</v>
      </c>
      <c r="AB355" s="295">
        <v>0</v>
      </c>
      <c r="AC355" s="295">
        <v>0</v>
      </c>
      <c r="AD355" s="295">
        <v>0</v>
      </c>
      <c r="AE355" s="295">
        <v>0</v>
      </c>
      <c r="AF355" s="295">
        <v>0</v>
      </c>
      <c r="AG355" s="295">
        <v>0</v>
      </c>
      <c r="AH355" s="295">
        <v>1807.5</v>
      </c>
      <c r="AI355" s="362"/>
    </row>
    <row r="356" spans="1:35">
      <c r="A356" s="291">
        <v>408</v>
      </c>
      <c r="B356" s="291">
        <v>42613</v>
      </c>
      <c r="C356" s="292" t="s">
        <v>1398</v>
      </c>
      <c r="D356" s="293" t="s">
        <v>149</v>
      </c>
      <c r="E356" s="293" t="str">
        <f t="shared" si="5"/>
        <v>2</v>
      </c>
      <c r="F356" s="293" t="s">
        <v>126</v>
      </c>
      <c r="G356" s="294">
        <v>1076</v>
      </c>
      <c r="H356" s="292" t="s">
        <v>97</v>
      </c>
      <c r="I356" s="292" t="s">
        <v>1399</v>
      </c>
      <c r="J356" s="293" t="s">
        <v>1400</v>
      </c>
      <c r="K356" s="293"/>
      <c r="L356" s="293" t="s">
        <v>514</v>
      </c>
      <c r="M356" s="293" t="s">
        <v>515</v>
      </c>
      <c r="N356" s="295">
        <v>1624</v>
      </c>
      <c r="O356" s="296" t="s">
        <v>673</v>
      </c>
      <c r="P356" s="295">
        <v>500</v>
      </c>
      <c r="Q356" s="295">
        <v>500</v>
      </c>
      <c r="R356" s="295">
        <v>0</v>
      </c>
      <c r="S356" s="295">
        <v>1606</v>
      </c>
      <c r="T356" s="295">
        <v>1606</v>
      </c>
      <c r="U356" s="295">
        <v>30</v>
      </c>
      <c r="V356" s="295">
        <v>10</v>
      </c>
      <c r="W356" s="295">
        <v>5.5</v>
      </c>
      <c r="X356" s="295">
        <v>5</v>
      </c>
      <c r="Y356" s="295">
        <v>18</v>
      </c>
      <c r="Z356" s="295">
        <v>0</v>
      </c>
      <c r="AA356" s="295">
        <v>0</v>
      </c>
      <c r="AB356" s="295">
        <v>0</v>
      </c>
      <c r="AC356" s="295">
        <v>0</v>
      </c>
      <c r="AD356" s="295">
        <v>0</v>
      </c>
      <c r="AE356" s="295">
        <v>0</v>
      </c>
      <c r="AF356" s="295">
        <v>0</v>
      </c>
      <c r="AG356" s="295">
        <v>0</v>
      </c>
      <c r="AH356" s="295">
        <v>1674.5</v>
      </c>
      <c r="AI356" s="362"/>
    </row>
    <row r="357" spans="1:35">
      <c r="A357" s="291">
        <v>31635</v>
      </c>
      <c r="B357" s="291">
        <v>42973</v>
      </c>
      <c r="C357" s="292" t="s">
        <v>1401</v>
      </c>
      <c r="D357" s="293" t="s">
        <v>677</v>
      </c>
      <c r="E357" s="293" t="str">
        <f t="shared" si="5"/>
        <v>G</v>
      </c>
      <c r="F357" s="293" t="s">
        <v>126</v>
      </c>
      <c r="G357" s="294">
        <v>1076</v>
      </c>
      <c r="H357" s="292" t="s">
        <v>97</v>
      </c>
      <c r="I357" s="292" t="s">
        <v>1402</v>
      </c>
      <c r="J357" s="293" t="s">
        <v>396</v>
      </c>
      <c r="K357" s="293"/>
      <c r="L357" s="293" t="s">
        <v>1905</v>
      </c>
      <c r="M357" s="293" t="s">
        <v>1966</v>
      </c>
      <c r="N357" s="295">
        <v>1594</v>
      </c>
      <c r="O357" s="296" t="s">
        <v>673</v>
      </c>
      <c r="P357" s="295">
        <v>0</v>
      </c>
      <c r="Q357" s="295">
        <v>0</v>
      </c>
      <c r="R357" s="295">
        <v>0</v>
      </c>
      <c r="S357" s="295">
        <v>1624</v>
      </c>
      <c r="T357" s="295">
        <v>1624</v>
      </c>
      <c r="U357" s="295">
        <v>30</v>
      </c>
      <c r="V357" s="295">
        <v>10</v>
      </c>
      <c r="W357" s="295">
        <v>5.5</v>
      </c>
      <c r="X357" s="295">
        <v>5</v>
      </c>
      <c r="Y357" s="295">
        <v>18</v>
      </c>
      <c r="Z357" s="295">
        <v>15</v>
      </c>
      <c r="AA357" s="295">
        <v>70</v>
      </c>
      <c r="AB357" s="295">
        <v>35</v>
      </c>
      <c r="AC357" s="295">
        <v>0</v>
      </c>
      <c r="AD357" s="295">
        <v>0</v>
      </c>
      <c r="AE357" s="295">
        <v>0</v>
      </c>
      <c r="AF357" s="295">
        <v>0</v>
      </c>
      <c r="AG357" s="295">
        <v>0</v>
      </c>
      <c r="AH357" s="295">
        <v>1812.5</v>
      </c>
      <c r="AI357" s="362"/>
    </row>
    <row r="358" spans="1:35">
      <c r="A358" s="291">
        <v>31992</v>
      </c>
      <c r="B358" s="291">
        <v>42930</v>
      </c>
      <c r="C358" s="292" t="s">
        <v>1403</v>
      </c>
      <c r="D358" s="293" t="s">
        <v>677</v>
      </c>
      <c r="E358" s="293" t="str">
        <f t="shared" si="5"/>
        <v>G</v>
      </c>
      <c r="F358" s="293" t="s">
        <v>126</v>
      </c>
      <c r="G358" s="294">
        <v>1076</v>
      </c>
      <c r="H358" s="292" t="s">
        <v>97</v>
      </c>
      <c r="I358" s="292" t="s">
        <v>1881</v>
      </c>
      <c r="J358" s="293" t="s">
        <v>414</v>
      </c>
      <c r="K358" s="293"/>
      <c r="L358" s="293" t="s">
        <v>414</v>
      </c>
      <c r="M358" s="293" t="s">
        <v>1882</v>
      </c>
      <c r="N358" s="295">
        <v>1594</v>
      </c>
      <c r="O358" s="296" t="s">
        <v>673</v>
      </c>
      <c r="P358" s="295">
        <v>0</v>
      </c>
      <c r="Q358" s="295">
        <v>0</v>
      </c>
      <c r="R358" s="295">
        <v>0</v>
      </c>
      <c r="S358" s="295">
        <v>1624</v>
      </c>
      <c r="T358" s="295">
        <v>1624</v>
      </c>
      <c r="U358" s="295">
        <v>30</v>
      </c>
      <c r="V358" s="295">
        <v>10</v>
      </c>
      <c r="W358" s="295">
        <v>5.5</v>
      </c>
      <c r="X358" s="295">
        <v>5</v>
      </c>
      <c r="Y358" s="295">
        <v>18</v>
      </c>
      <c r="Z358" s="295">
        <v>0</v>
      </c>
      <c r="AA358" s="295">
        <v>70</v>
      </c>
      <c r="AB358" s="295">
        <v>0</v>
      </c>
      <c r="AC358" s="295">
        <v>0</v>
      </c>
      <c r="AD358" s="295">
        <v>0</v>
      </c>
      <c r="AE358" s="295">
        <v>0</v>
      </c>
      <c r="AF358" s="295">
        <v>0</v>
      </c>
      <c r="AG358" s="295">
        <v>0</v>
      </c>
      <c r="AH358" s="295">
        <v>1762.5</v>
      </c>
      <c r="AI358" s="362"/>
    </row>
    <row r="359" spans="1:35">
      <c r="A359" s="291">
        <v>31899</v>
      </c>
      <c r="B359" s="291">
        <v>42753</v>
      </c>
      <c r="C359" s="292" t="s">
        <v>1405</v>
      </c>
      <c r="D359" s="293" t="s">
        <v>147</v>
      </c>
      <c r="E359" s="293" t="str">
        <f t="shared" si="5"/>
        <v>Q</v>
      </c>
      <c r="F359" s="293" t="s">
        <v>126</v>
      </c>
      <c r="G359" s="294">
        <v>1076</v>
      </c>
      <c r="H359" s="292" t="s">
        <v>97</v>
      </c>
      <c r="I359" s="292" t="s">
        <v>1406</v>
      </c>
      <c r="J359" s="293" t="s">
        <v>516</v>
      </c>
      <c r="K359" s="293"/>
      <c r="L359" s="293" t="s">
        <v>516</v>
      </c>
      <c r="M359" s="293" t="s">
        <v>517</v>
      </c>
      <c r="N359" s="295">
        <v>1644</v>
      </c>
      <c r="O359" s="296" t="s">
        <v>673</v>
      </c>
      <c r="P359" s="295">
        <v>0</v>
      </c>
      <c r="Q359" s="295">
        <v>0</v>
      </c>
      <c r="R359" s="295">
        <v>0</v>
      </c>
      <c r="S359" s="295">
        <v>1674</v>
      </c>
      <c r="T359" s="295">
        <v>1674</v>
      </c>
      <c r="U359" s="295">
        <v>30</v>
      </c>
      <c r="V359" s="295">
        <v>10</v>
      </c>
      <c r="W359" s="295">
        <v>5.5</v>
      </c>
      <c r="X359" s="295">
        <v>5</v>
      </c>
      <c r="Y359" s="295">
        <v>18</v>
      </c>
      <c r="Z359" s="295">
        <v>0</v>
      </c>
      <c r="AA359" s="295">
        <v>70</v>
      </c>
      <c r="AB359" s="295">
        <v>0</v>
      </c>
      <c r="AC359" s="295">
        <v>0</v>
      </c>
      <c r="AD359" s="295">
        <v>0</v>
      </c>
      <c r="AE359" s="295">
        <v>0</v>
      </c>
      <c r="AF359" s="295">
        <v>0</v>
      </c>
      <c r="AG359" s="295">
        <v>0</v>
      </c>
      <c r="AH359" s="295">
        <v>1812.5</v>
      </c>
      <c r="AI359" s="362"/>
    </row>
    <row r="360" spans="1:35">
      <c r="A360" s="291">
        <v>11217</v>
      </c>
      <c r="B360" s="291">
        <v>42942</v>
      </c>
      <c r="C360" s="292" t="s">
        <v>1407</v>
      </c>
      <c r="D360" s="293" t="s">
        <v>147</v>
      </c>
      <c r="E360" s="293" t="str">
        <f t="shared" si="5"/>
        <v>Q</v>
      </c>
      <c r="F360" s="293" t="s">
        <v>126</v>
      </c>
      <c r="G360" s="294">
        <v>1076</v>
      </c>
      <c r="H360" s="292" t="s">
        <v>358</v>
      </c>
      <c r="I360" s="292" t="s">
        <v>1408</v>
      </c>
      <c r="J360" s="293" t="s">
        <v>1409</v>
      </c>
      <c r="K360" s="293" t="s">
        <v>2071</v>
      </c>
      <c r="L360" s="293" t="s">
        <v>436</v>
      </c>
      <c r="M360" s="293" t="s">
        <v>507</v>
      </c>
      <c r="N360" s="295">
        <v>1644</v>
      </c>
      <c r="O360" s="296" t="s">
        <v>673</v>
      </c>
      <c r="P360" s="295">
        <v>0</v>
      </c>
      <c r="Q360" s="295">
        <v>0</v>
      </c>
      <c r="R360" s="295">
        <v>0</v>
      </c>
      <c r="S360" s="295">
        <v>1714</v>
      </c>
      <c r="T360" s="295">
        <v>1714</v>
      </c>
      <c r="U360" s="295">
        <v>30</v>
      </c>
      <c r="V360" s="295">
        <v>10</v>
      </c>
      <c r="W360" s="295">
        <v>5.5</v>
      </c>
      <c r="X360" s="295">
        <v>5</v>
      </c>
      <c r="Y360" s="295">
        <v>18</v>
      </c>
      <c r="Z360" s="295">
        <v>0</v>
      </c>
      <c r="AA360" s="295">
        <v>70</v>
      </c>
      <c r="AB360" s="295">
        <v>35</v>
      </c>
      <c r="AC360" s="295">
        <v>75</v>
      </c>
      <c r="AD360" s="295">
        <v>0</v>
      </c>
      <c r="AE360" s="295">
        <v>0</v>
      </c>
      <c r="AF360" s="295">
        <v>0</v>
      </c>
      <c r="AG360" s="295">
        <v>0</v>
      </c>
      <c r="AH360" s="295">
        <v>1962.5</v>
      </c>
      <c r="AI360" s="362"/>
    </row>
    <row r="361" spans="1:35">
      <c r="A361" s="291">
        <v>21385</v>
      </c>
      <c r="B361" s="291">
        <v>43258</v>
      </c>
      <c r="C361" s="292" t="s">
        <v>1407</v>
      </c>
      <c r="D361" s="293" t="s">
        <v>147</v>
      </c>
      <c r="E361" s="293" t="str">
        <f t="shared" si="5"/>
        <v>Q</v>
      </c>
      <c r="F361" s="293" t="s">
        <v>126</v>
      </c>
      <c r="G361" s="294">
        <v>1076</v>
      </c>
      <c r="H361" s="292" t="s">
        <v>2138</v>
      </c>
      <c r="I361" s="292" t="s">
        <v>1702</v>
      </c>
      <c r="J361" s="293" t="s">
        <v>2172</v>
      </c>
      <c r="K361" s="293"/>
      <c r="L361" s="293" t="s">
        <v>2172</v>
      </c>
      <c r="M361" s="293" t="s">
        <v>2177</v>
      </c>
      <c r="N361" s="295">
        <v>0</v>
      </c>
      <c r="O361" s="296" t="s">
        <v>673</v>
      </c>
      <c r="P361" s="295">
        <v>0</v>
      </c>
      <c r="Q361" s="295">
        <v>0</v>
      </c>
      <c r="R361" s="295">
        <v>0</v>
      </c>
      <c r="S361" s="295">
        <v>1644</v>
      </c>
      <c r="T361" s="295">
        <v>1644</v>
      </c>
      <c r="U361" s="295">
        <v>30</v>
      </c>
      <c r="V361" s="295">
        <v>10</v>
      </c>
      <c r="W361" s="295">
        <v>5.5</v>
      </c>
      <c r="X361" s="295">
        <v>5</v>
      </c>
      <c r="Y361" s="295">
        <v>18</v>
      </c>
      <c r="Z361" s="295">
        <v>0</v>
      </c>
      <c r="AA361" s="295">
        <v>70</v>
      </c>
      <c r="AB361" s="295">
        <v>0</v>
      </c>
      <c r="AC361" s="295">
        <v>0</v>
      </c>
      <c r="AD361" s="295">
        <v>250</v>
      </c>
      <c r="AE361" s="295">
        <v>0</v>
      </c>
      <c r="AF361" s="295">
        <v>0</v>
      </c>
      <c r="AG361" s="295">
        <v>0</v>
      </c>
      <c r="AH361" s="295">
        <v>2032.5</v>
      </c>
      <c r="AI361" s="362"/>
    </row>
    <row r="362" spans="1:35">
      <c r="A362" s="291">
        <v>344</v>
      </c>
      <c r="B362" s="291">
        <v>42860</v>
      </c>
      <c r="C362" s="292" t="s">
        <v>1410</v>
      </c>
      <c r="D362" s="293" t="s">
        <v>149</v>
      </c>
      <c r="E362" s="293" t="str">
        <f t="shared" si="5"/>
        <v>2</v>
      </c>
      <c r="F362" s="293" t="s">
        <v>126</v>
      </c>
      <c r="G362" s="294">
        <v>1076</v>
      </c>
      <c r="H362" s="292" t="s">
        <v>97</v>
      </c>
      <c r="I362" s="292" t="s">
        <v>1411</v>
      </c>
      <c r="J362" s="293" t="s">
        <v>1412</v>
      </c>
      <c r="K362" s="293"/>
      <c r="L362" s="293" t="s">
        <v>1251</v>
      </c>
      <c r="M362" s="293" t="s">
        <v>1883</v>
      </c>
      <c r="N362" s="295">
        <v>1624</v>
      </c>
      <c r="O362" s="296" t="s">
        <v>673</v>
      </c>
      <c r="P362" s="295">
        <v>0</v>
      </c>
      <c r="Q362" s="295">
        <v>0</v>
      </c>
      <c r="R362" s="295">
        <v>0</v>
      </c>
      <c r="S362" s="295">
        <v>1599</v>
      </c>
      <c r="T362" s="295">
        <v>1599</v>
      </c>
      <c r="U362" s="295">
        <v>30</v>
      </c>
      <c r="V362" s="295">
        <v>10</v>
      </c>
      <c r="W362" s="295">
        <v>5.5</v>
      </c>
      <c r="X362" s="295">
        <v>5</v>
      </c>
      <c r="Y362" s="295">
        <v>18</v>
      </c>
      <c r="Z362" s="295">
        <v>15</v>
      </c>
      <c r="AA362" s="295">
        <v>70</v>
      </c>
      <c r="AB362" s="295">
        <v>0</v>
      </c>
      <c r="AC362" s="295">
        <v>0</v>
      </c>
      <c r="AD362" s="295">
        <v>0</v>
      </c>
      <c r="AE362" s="295">
        <v>0</v>
      </c>
      <c r="AF362" s="295">
        <v>0</v>
      </c>
      <c r="AG362" s="295">
        <v>0</v>
      </c>
      <c r="AH362" s="295">
        <v>1752.5</v>
      </c>
      <c r="AI362" s="362"/>
    </row>
    <row r="363" spans="1:35">
      <c r="A363" s="291">
        <v>11089</v>
      </c>
      <c r="B363" s="291">
        <v>42757</v>
      </c>
      <c r="C363" s="292" t="s">
        <v>1413</v>
      </c>
      <c r="D363" s="293" t="s">
        <v>147</v>
      </c>
      <c r="E363" s="293" t="str">
        <f t="shared" si="5"/>
        <v>Q</v>
      </c>
      <c r="F363" s="293" t="s">
        <v>126</v>
      </c>
      <c r="G363" s="294">
        <v>1076</v>
      </c>
      <c r="H363" s="292" t="s">
        <v>97</v>
      </c>
      <c r="I363" s="292" t="s">
        <v>1414</v>
      </c>
      <c r="J363" s="293" t="s">
        <v>1415</v>
      </c>
      <c r="K363" s="293"/>
      <c r="L363" s="293" t="s">
        <v>430</v>
      </c>
      <c r="M363" s="293" t="s">
        <v>1808</v>
      </c>
      <c r="N363" s="295">
        <v>1644</v>
      </c>
      <c r="O363" s="296" t="s">
        <v>673</v>
      </c>
      <c r="P363" s="295">
        <v>0</v>
      </c>
      <c r="Q363" s="295">
        <v>0</v>
      </c>
      <c r="R363" s="295">
        <v>0</v>
      </c>
      <c r="S363" s="295">
        <v>1705</v>
      </c>
      <c r="T363" s="295">
        <v>1705</v>
      </c>
      <c r="U363" s="295">
        <v>30</v>
      </c>
      <c r="V363" s="295">
        <v>10</v>
      </c>
      <c r="W363" s="295">
        <v>5.5</v>
      </c>
      <c r="X363" s="295">
        <v>5</v>
      </c>
      <c r="Y363" s="295">
        <v>18</v>
      </c>
      <c r="Z363" s="295">
        <v>0</v>
      </c>
      <c r="AA363" s="295">
        <v>0</v>
      </c>
      <c r="AB363" s="295">
        <v>0</v>
      </c>
      <c r="AC363" s="295">
        <v>0</v>
      </c>
      <c r="AD363" s="295">
        <v>0</v>
      </c>
      <c r="AE363" s="295">
        <v>0</v>
      </c>
      <c r="AF363" s="295">
        <v>0</v>
      </c>
      <c r="AG363" s="295">
        <v>0</v>
      </c>
      <c r="AH363" s="295">
        <v>1773.5</v>
      </c>
      <c r="AI363" s="362"/>
    </row>
    <row r="364" spans="1:35">
      <c r="A364" s="291">
        <v>31944</v>
      </c>
      <c r="B364" s="291">
        <v>42849</v>
      </c>
      <c r="C364" s="292" t="s">
        <v>1416</v>
      </c>
      <c r="D364" s="293" t="s">
        <v>129</v>
      </c>
      <c r="E364" s="293" t="str">
        <f t="shared" si="5"/>
        <v>F</v>
      </c>
      <c r="F364" s="293" t="s">
        <v>126</v>
      </c>
      <c r="G364" s="294">
        <v>600</v>
      </c>
      <c r="H364" s="292" t="s">
        <v>97</v>
      </c>
      <c r="I364" s="292" t="s">
        <v>1884</v>
      </c>
      <c r="J364" s="293" t="s">
        <v>405</v>
      </c>
      <c r="K364" s="293"/>
      <c r="L364" s="293" t="s">
        <v>405</v>
      </c>
      <c r="M364" s="293" t="s">
        <v>1878</v>
      </c>
      <c r="N364" s="295">
        <v>1184</v>
      </c>
      <c r="O364" s="296" t="s">
        <v>673</v>
      </c>
      <c r="P364" s="295">
        <v>0</v>
      </c>
      <c r="Q364" s="295">
        <v>0</v>
      </c>
      <c r="R364" s="295">
        <v>0</v>
      </c>
      <c r="S364" s="295">
        <v>1214</v>
      </c>
      <c r="T364" s="295">
        <v>1214</v>
      </c>
      <c r="U364" s="295">
        <v>30</v>
      </c>
      <c r="V364" s="295">
        <v>10</v>
      </c>
      <c r="W364" s="295">
        <v>5.5</v>
      </c>
      <c r="X364" s="295">
        <v>5</v>
      </c>
      <c r="Y364" s="295">
        <v>18</v>
      </c>
      <c r="Z364" s="295">
        <v>0</v>
      </c>
      <c r="AA364" s="295">
        <v>70</v>
      </c>
      <c r="AB364" s="295">
        <v>0</v>
      </c>
      <c r="AC364" s="295">
        <v>0</v>
      </c>
      <c r="AD364" s="295">
        <v>0</v>
      </c>
      <c r="AE364" s="295">
        <v>0</v>
      </c>
      <c r="AF364" s="295">
        <v>0</v>
      </c>
      <c r="AG364" s="295">
        <v>0</v>
      </c>
      <c r="AH364" s="295">
        <v>1352.5</v>
      </c>
      <c r="AI364" s="362"/>
    </row>
    <row r="365" spans="1:35">
      <c r="A365" s="291">
        <v>31932</v>
      </c>
      <c r="B365" s="291">
        <v>42829</v>
      </c>
      <c r="C365" s="292" t="s">
        <v>1417</v>
      </c>
      <c r="D365" s="293" t="s">
        <v>139</v>
      </c>
      <c r="E365" s="293" t="str">
        <f t="shared" si="5"/>
        <v>Q</v>
      </c>
      <c r="F365" s="293" t="s">
        <v>126</v>
      </c>
      <c r="G365" s="294">
        <v>600</v>
      </c>
      <c r="H365" s="292" t="s">
        <v>97</v>
      </c>
      <c r="I365" s="292" t="s">
        <v>1885</v>
      </c>
      <c r="J365" s="293" t="s">
        <v>731</v>
      </c>
      <c r="K365" s="293"/>
      <c r="L365" s="293" t="s">
        <v>731</v>
      </c>
      <c r="M365" s="293" t="s">
        <v>1813</v>
      </c>
      <c r="N365" s="295">
        <v>1294</v>
      </c>
      <c r="O365" s="296" t="s">
        <v>673</v>
      </c>
      <c r="P365" s="295">
        <v>0</v>
      </c>
      <c r="Q365" s="295">
        <v>0</v>
      </c>
      <c r="R365" s="295">
        <v>-0.1</v>
      </c>
      <c r="S365" s="295">
        <v>1244</v>
      </c>
      <c r="T365" s="295">
        <v>1244</v>
      </c>
      <c r="U365" s="295">
        <v>30</v>
      </c>
      <c r="V365" s="295">
        <v>10</v>
      </c>
      <c r="W365" s="295">
        <v>5.5</v>
      </c>
      <c r="X365" s="295">
        <v>5</v>
      </c>
      <c r="Y365" s="295">
        <v>18</v>
      </c>
      <c r="Z365" s="295">
        <v>0</v>
      </c>
      <c r="AA365" s="295">
        <v>70</v>
      </c>
      <c r="AB365" s="295">
        <v>0</v>
      </c>
      <c r="AC365" s="295">
        <v>0</v>
      </c>
      <c r="AD365" s="295">
        <v>0</v>
      </c>
      <c r="AE365" s="295">
        <v>0</v>
      </c>
      <c r="AF365" s="295">
        <v>0</v>
      </c>
      <c r="AG365" s="295">
        <v>0</v>
      </c>
      <c r="AH365" s="295">
        <v>1382.5</v>
      </c>
      <c r="AI365" s="362"/>
    </row>
    <row r="366" spans="1:35">
      <c r="A366" s="291">
        <v>735</v>
      </c>
      <c r="B366" s="291">
        <v>42821</v>
      </c>
      <c r="C366" s="292" t="s">
        <v>1418</v>
      </c>
      <c r="D366" s="293" t="s">
        <v>139</v>
      </c>
      <c r="E366" s="293" t="str">
        <f t="shared" si="5"/>
        <v>Q</v>
      </c>
      <c r="F366" s="293" t="s">
        <v>126</v>
      </c>
      <c r="G366" s="294">
        <v>600</v>
      </c>
      <c r="H366" s="292" t="s">
        <v>97</v>
      </c>
      <c r="I366" s="292" t="s">
        <v>1419</v>
      </c>
      <c r="J366" s="293" t="s">
        <v>137</v>
      </c>
      <c r="K366" s="293"/>
      <c r="L366" s="293" t="s">
        <v>1826</v>
      </c>
      <c r="M366" s="293" t="s">
        <v>1792</v>
      </c>
      <c r="N366" s="295">
        <v>1294</v>
      </c>
      <c r="O366" s="296" t="s">
        <v>673</v>
      </c>
      <c r="P366" s="295">
        <v>0</v>
      </c>
      <c r="Q366" s="295">
        <v>0</v>
      </c>
      <c r="R366" s="295">
        <v>0</v>
      </c>
      <c r="S366" s="295">
        <v>1387</v>
      </c>
      <c r="T366" s="295">
        <v>1387</v>
      </c>
      <c r="U366" s="295">
        <v>30</v>
      </c>
      <c r="V366" s="295">
        <v>10</v>
      </c>
      <c r="W366" s="295">
        <v>5.5</v>
      </c>
      <c r="X366" s="295">
        <v>5</v>
      </c>
      <c r="Y366" s="295">
        <v>18</v>
      </c>
      <c r="Z366" s="295">
        <v>15</v>
      </c>
      <c r="AA366" s="295">
        <v>70</v>
      </c>
      <c r="AB366" s="295">
        <v>35</v>
      </c>
      <c r="AC366" s="295">
        <v>0</v>
      </c>
      <c r="AD366" s="295">
        <v>0</v>
      </c>
      <c r="AE366" s="295">
        <v>0</v>
      </c>
      <c r="AF366" s="295">
        <v>0</v>
      </c>
      <c r="AG366" s="295">
        <v>0</v>
      </c>
      <c r="AH366" s="295">
        <v>1575.5</v>
      </c>
      <c r="AI366" s="362"/>
    </row>
    <row r="367" spans="1:35">
      <c r="A367" s="291">
        <v>21414</v>
      </c>
      <c r="B367" s="291">
        <v>43257</v>
      </c>
      <c r="C367" s="292" t="s">
        <v>1420</v>
      </c>
      <c r="D367" s="293" t="s">
        <v>139</v>
      </c>
      <c r="E367" s="293" t="str">
        <f t="shared" si="5"/>
        <v>Q</v>
      </c>
      <c r="F367" s="293" t="s">
        <v>126</v>
      </c>
      <c r="G367" s="294">
        <v>600</v>
      </c>
      <c r="H367" s="292" t="s">
        <v>97</v>
      </c>
      <c r="I367" s="292" t="s">
        <v>1421</v>
      </c>
      <c r="J367" s="293" t="s">
        <v>1422</v>
      </c>
      <c r="K367" s="293"/>
      <c r="L367" s="293" t="s">
        <v>2178</v>
      </c>
      <c r="M367" s="293" t="s">
        <v>2106</v>
      </c>
      <c r="N367" s="295">
        <v>1294</v>
      </c>
      <c r="O367" s="296" t="s">
        <v>673</v>
      </c>
      <c r="P367" s="295">
        <v>0</v>
      </c>
      <c r="Q367" s="295">
        <v>0</v>
      </c>
      <c r="R367" s="295">
        <v>-1486.83</v>
      </c>
      <c r="S367" s="295">
        <v>1299</v>
      </c>
      <c r="T367" s="295">
        <v>1299</v>
      </c>
      <c r="U367" s="295">
        <v>30</v>
      </c>
      <c r="V367" s="295">
        <v>10</v>
      </c>
      <c r="W367" s="295">
        <v>5.5</v>
      </c>
      <c r="X367" s="295">
        <v>5</v>
      </c>
      <c r="Y367" s="295">
        <v>18</v>
      </c>
      <c r="Z367" s="295">
        <v>15</v>
      </c>
      <c r="AA367" s="295">
        <v>70</v>
      </c>
      <c r="AB367" s="295">
        <v>0</v>
      </c>
      <c r="AC367" s="295">
        <v>0</v>
      </c>
      <c r="AD367" s="295">
        <v>0</v>
      </c>
      <c r="AE367" s="295">
        <v>0</v>
      </c>
      <c r="AF367" s="295">
        <v>0</v>
      </c>
      <c r="AG367" s="295">
        <v>0</v>
      </c>
      <c r="AH367" s="295">
        <v>1452.5</v>
      </c>
      <c r="AI367" s="362"/>
    </row>
    <row r="368" spans="1:35">
      <c r="A368" s="291">
        <v>650</v>
      </c>
      <c r="B368" s="291">
        <v>42639</v>
      </c>
      <c r="C368" s="292" t="s">
        <v>1424</v>
      </c>
      <c r="D368" s="293" t="s">
        <v>139</v>
      </c>
      <c r="E368" s="293" t="str">
        <f t="shared" si="5"/>
        <v>Q</v>
      </c>
      <c r="F368" s="293" t="s">
        <v>126</v>
      </c>
      <c r="G368" s="294">
        <v>600</v>
      </c>
      <c r="H368" s="292" t="s">
        <v>97</v>
      </c>
      <c r="I368" s="292" t="s">
        <v>1425</v>
      </c>
      <c r="J368" s="293" t="s">
        <v>1426</v>
      </c>
      <c r="K368" s="293"/>
      <c r="L368" s="293" t="s">
        <v>497</v>
      </c>
      <c r="M368" s="293" t="s">
        <v>520</v>
      </c>
      <c r="N368" s="295">
        <v>1294</v>
      </c>
      <c r="O368" s="296" t="s">
        <v>673</v>
      </c>
      <c r="P368" s="295">
        <v>0</v>
      </c>
      <c r="Q368" s="295">
        <v>0</v>
      </c>
      <c r="R368" s="295">
        <v>-460</v>
      </c>
      <c r="S368" s="295">
        <v>1367</v>
      </c>
      <c r="T368" s="295">
        <v>1367</v>
      </c>
      <c r="U368" s="295">
        <v>30</v>
      </c>
      <c r="V368" s="295">
        <v>10</v>
      </c>
      <c r="W368" s="295">
        <v>5.5</v>
      </c>
      <c r="X368" s="295">
        <v>5</v>
      </c>
      <c r="Y368" s="295">
        <v>18</v>
      </c>
      <c r="Z368" s="295">
        <v>15</v>
      </c>
      <c r="AA368" s="295">
        <v>0</v>
      </c>
      <c r="AB368" s="295">
        <v>0</v>
      </c>
      <c r="AC368" s="295">
        <v>0</v>
      </c>
      <c r="AD368" s="295">
        <v>0</v>
      </c>
      <c r="AE368" s="295">
        <v>0</v>
      </c>
      <c r="AF368" s="295">
        <v>0</v>
      </c>
      <c r="AG368" s="295">
        <v>0</v>
      </c>
      <c r="AH368" s="295">
        <v>1450.5</v>
      </c>
      <c r="AI368" s="362"/>
    </row>
    <row r="369" spans="1:35">
      <c r="A369" s="291">
        <v>31557</v>
      </c>
      <c r="B369" s="291">
        <v>42739</v>
      </c>
      <c r="C369" s="292" t="s">
        <v>1427</v>
      </c>
      <c r="D369" s="293" t="s">
        <v>279</v>
      </c>
      <c r="E369" s="293" t="str">
        <f t="shared" si="5"/>
        <v>G</v>
      </c>
      <c r="F369" s="293" t="s">
        <v>126</v>
      </c>
      <c r="G369" s="294">
        <v>600</v>
      </c>
      <c r="H369" s="292" t="s">
        <v>97</v>
      </c>
      <c r="I369" s="292" t="s">
        <v>1428</v>
      </c>
      <c r="J369" s="293" t="s">
        <v>975</v>
      </c>
      <c r="K369" s="293"/>
      <c r="L369" s="293" t="s">
        <v>498</v>
      </c>
      <c r="M369" s="293" t="s">
        <v>867</v>
      </c>
      <c r="N369" s="295">
        <v>1254</v>
      </c>
      <c r="O369" s="296" t="s">
        <v>673</v>
      </c>
      <c r="P369" s="295">
        <v>0</v>
      </c>
      <c r="Q369" s="295">
        <v>0</v>
      </c>
      <c r="R369" s="295">
        <v>0</v>
      </c>
      <c r="S369" s="295">
        <v>1314</v>
      </c>
      <c r="T369" s="295">
        <v>1314</v>
      </c>
      <c r="U369" s="295">
        <v>30</v>
      </c>
      <c r="V369" s="295">
        <v>10</v>
      </c>
      <c r="W369" s="295">
        <v>5.5</v>
      </c>
      <c r="X369" s="295">
        <v>5</v>
      </c>
      <c r="Y369" s="295">
        <v>0</v>
      </c>
      <c r="Z369" s="295">
        <v>15</v>
      </c>
      <c r="AA369" s="295">
        <v>0</v>
      </c>
      <c r="AB369" s="295">
        <v>0</v>
      </c>
      <c r="AC369" s="295">
        <v>0</v>
      </c>
      <c r="AD369" s="295">
        <v>0</v>
      </c>
      <c r="AE369" s="295">
        <v>0</v>
      </c>
      <c r="AF369" s="295">
        <v>0</v>
      </c>
      <c r="AG369" s="295">
        <v>0</v>
      </c>
      <c r="AH369" s="295">
        <v>1379.5</v>
      </c>
      <c r="AI369" s="362"/>
    </row>
    <row r="370" spans="1:35">
      <c r="A370" s="291">
        <v>31570</v>
      </c>
      <c r="B370" s="291">
        <v>42792</v>
      </c>
      <c r="C370" s="292" t="s">
        <v>1429</v>
      </c>
      <c r="D370" s="293" t="s">
        <v>129</v>
      </c>
      <c r="E370" s="293" t="str">
        <f t="shared" si="5"/>
        <v>F</v>
      </c>
      <c r="F370" s="293" t="s">
        <v>126</v>
      </c>
      <c r="G370" s="294">
        <v>600</v>
      </c>
      <c r="H370" s="292" t="s">
        <v>97</v>
      </c>
      <c r="I370" s="292" t="s">
        <v>1430</v>
      </c>
      <c r="J370" s="293" t="s">
        <v>428</v>
      </c>
      <c r="K370" s="293"/>
      <c r="L370" s="293" t="s">
        <v>1828</v>
      </c>
      <c r="M370" s="293" t="s">
        <v>1813</v>
      </c>
      <c r="N370" s="295">
        <v>1184</v>
      </c>
      <c r="O370" s="296" t="s">
        <v>673</v>
      </c>
      <c r="P370" s="295">
        <v>0</v>
      </c>
      <c r="Q370" s="295">
        <v>0</v>
      </c>
      <c r="R370" s="295">
        <v>0</v>
      </c>
      <c r="S370" s="295">
        <v>1244</v>
      </c>
      <c r="T370" s="295">
        <v>1244</v>
      </c>
      <c r="U370" s="295">
        <v>30</v>
      </c>
      <c r="V370" s="295">
        <v>10</v>
      </c>
      <c r="W370" s="295">
        <v>5.5</v>
      </c>
      <c r="X370" s="295">
        <v>5</v>
      </c>
      <c r="Y370" s="295">
        <v>18</v>
      </c>
      <c r="Z370" s="295">
        <v>0</v>
      </c>
      <c r="AA370" s="295">
        <v>70</v>
      </c>
      <c r="AB370" s="295">
        <v>35</v>
      </c>
      <c r="AC370" s="295">
        <v>0</v>
      </c>
      <c r="AD370" s="295">
        <v>0</v>
      </c>
      <c r="AE370" s="295">
        <v>0</v>
      </c>
      <c r="AF370" s="295">
        <v>0</v>
      </c>
      <c r="AG370" s="295">
        <v>0</v>
      </c>
      <c r="AH370" s="295">
        <v>1417.5</v>
      </c>
      <c r="AI370" s="362"/>
    </row>
    <row r="371" spans="1:35">
      <c r="A371" s="291">
        <v>24</v>
      </c>
      <c r="B371" s="291">
        <v>43004</v>
      </c>
      <c r="C371" s="292" t="s">
        <v>1431</v>
      </c>
      <c r="D371" s="293" t="s">
        <v>133</v>
      </c>
      <c r="E371" s="293" t="str">
        <f t="shared" si="5"/>
        <v>1</v>
      </c>
      <c r="F371" s="293" t="s">
        <v>126</v>
      </c>
      <c r="G371" s="294">
        <v>600</v>
      </c>
      <c r="H371" s="292" t="s">
        <v>97</v>
      </c>
      <c r="I371" s="292" t="s">
        <v>1432</v>
      </c>
      <c r="J371" s="293" t="s">
        <v>1433</v>
      </c>
      <c r="K371" s="293"/>
      <c r="L371" s="293" t="s">
        <v>1934</v>
      </c>
      <c r="M371" s="293" t="s">
        <v>2023</v>
      </c>
      <c r="N371" s="295">
        <v>1284</v>
      </c>
      <c r="O371" s="296" t="s">
        <v>673</v>
      </c>
      <c r="P371" s="295">
        <v>100</v>
      </c>
      <c r="Q371" s="295">
        <v>100</v>
      </c>
      <c r="R371" s="295">
        <v>-1501.83</v>
      </c>
      <c r="S371" s="295">
        <v>1314</v>
      </c>
      <c r="T371" s="295">
        <v>1314</v>
      </c>
      <c r="U371" s="295">
        <v>30</v>
      </c>
      <c r="V371" s="295">
        <v>10</v>
      </c>
      <c r="W371" s="295">
        <v>5.5</v>
      </c>
      <c r="X371" s="295">
        <v>5</v>
      </c>
      <c r="Y371" s="295">
        <v>18</v>
      </c>
      <c r="Z371" s="295">
        <v>15</v>
      </c>
      <c r="AA371" s="295">
        <v>70</v>
      </c>
      <c r="AB371" s="295">
        <v>0</v>
      </c>
      <c r="AC371" s="295">
        <v>0</v>
      </c>
      <c r="AD371" s="295">
        <v>0</v>
      </c>
      <c r="AE371" s="295">
        <v>0</v>
      </c>
      <c r="AF371" s="295">
        <v>0</v>
      </c>
      <c r="AG371" s="295">
        <v>0</v>
      </c>
      <c r="AH371" s="295">
        <v>1467.5</v>
      </c>
      <c r="AI371" s="362"/>
    </row>
    <row r="372" spans="1:35">
      <c r="A372" s="291">
        <v>544</v>
      </c>
      <c r="B372" s="291">
        <v>43051</v>
      </c>
      <c r="C372" s="292" t="s">
        <v>1434</v>
      </c>
      <c r="D372" s="293" t="s">
        <v>163</v>
      </c>
      <c r="E372" s="293" t="str">
        <f t="shared" si="5"/>
        <v>F</v>
      </c>
      <c r="F372" s="293" t="s">
        <v>126</v>
      </c>
      <c r="G372" s="294">
        <v>1010</v>
      </c>
      <c r="H372" s="292" t="s">
        <v>97</v>
      </c>
      <c r="I372" s="292" t="s">
        <v>1435</v>
      </c>
      <c r="J372" s="293" t="s">
        <v>1436</v>
      </c>
      <c r="K372" s="293"/>
      <c r="L372" s="293" t="s">
        <v>470</v>
      </c>
      <c r="M372" s="293" t="s">
        <v>2086</v>
      </c>
      <c r="N372" s="295">
        <v>1444</v>
      </c>
      <c r="O372" s="296" t="s">
        <v>673</v>
      </c>
      <c r="P372" s="295">
        <v>0</v>
      </c>
      <c r="Q372" s="295">
        <v>0</v>
      </c>
      <c r="R372" s="295">
        <v>39.6</v>
      </c>
      <c r="S372" s="295">
        <v>1638</v>
      </c>
      <c r="T372" s="295">
        <v>1638</v>
      </c>
      <c r="U372" s="295">
        <v>30</v>
      </c>
      <c r="V372" s="295">
        <v>10</v>
      </c>
      <c r="W372" s="295">
        <v>5.5</v>
      </c>
      <c r="X372" s="295">
        <v>5</v>
      </c>
      <c r="Y372" s="295">
        <v>18</v>
      </c>
      <c r="Z372" s="295">
        <v>0</v>
      </c>
      <c r="AA372" s="295">
        <v>70</v>
      </c>
      <c r="AB372" s="295">
        <v>35</v>
      </c>
      <c r="AC372" s="295">
        <v>0</v>
      </c>
      <c r="AD372" s="295">
        <v>0</v>
      </c>
      <c r="AE372" s="295">
        <v>0</v>
      </c>
      <c r="AF372" s="295">
        <v>0</v>
      </c>
      <c r="AG372" s="295">
        <v>0</v>
      </c>
      <c r="AH372" s="295">
        <v>1811.5</v>
      </c>
      <c r="AI372" s="362"/>
    </row>
    <row r="373" spans="1:35">
      <c r="A373" s="291">
        <v>31884</v>
      </c>
      <c r="B373" s="291">
        <v>42724</v>
      </c>
      <c r="C373" s="292" t="s">
        <v>1437</v>
      </c>
      <c r="D373" s="293" t="s">
        <v>677</v>
      </c>
      <c r="E373" s="293" t="str">
        <f t="shared" si="5"/>
        <v>G</v>
      </c>
      <c r="F373" s="293" t="s">
        <v>126</v>
      </c>
      <c r="G373" s="294">
        <v>1076</v>
      </c>
      <c r="H373" s="292" t="s">
        <v>142</v>
      </c>
      <c r="I373" s="292" t="s">
        <v>1438</v>
      </c>
      <c r="J373" s="293" t="s">
        <v>395</v>
      </c>
      <c r="K373" s="293" t="s">
        <v>522</v>
      </c>
      <c r="L373" s="293" t="s">
        <v>395</v>
      </c>
      <c r="M373" s="293" t="s">
        <v>469</v>
      </c>
      <c r="N373" s="295">
        <v>1594</v>
      </c>
      <c r="O373" s="296" t="s">
        <v>673</v>
      </c>
      <c r="P373" s="295">
        <v>0</v>
      </c>
      <c r="Q373" s="295">
        <v>0</v>
      </c>
      <c r="R373" s="295">
        <v>25</v>
      </c>
      <c r="S373" s="295">
        <v>1544</v>
      </c>
      <c r="T373" s="295">
        <v>1544</v>
      </c>
      <c r="U373" s="295">
        <v>30</v>
      </c>
      <c r="V373" s="295">
        <v>10</v>
      </c>
      <c r="W373" s="295">
        <v>5.5</v>
      </c>
      <c r="X373" s="295">
        <v>5</v>
      </c>
      <c r="Y373" s="295">
        <v>18</v>
      </c>
      <c r="Z373" s="295">
        <v>0</v>
      </c>
      <c r="AA373" s="295">
        <v>0</v>
      </c>
      <c r="AB373" s="295">
        <v>0</v>
      </c>
      <c r="AC373" s="295">
        <v>0</v>
      </c>
      <c r="AD373" s="295">
        <v>0</v>
      </c>
      <c r="AE373" s="295">
        <v>0</v>
      </c>
      <c r="AF373" s="295">
        <v>0</v>
      </c>
      <c r="AG373" s="295">
        <v>0</v>
      </c>
      <c r="AH373" s="295">
        <v>1612.5</v>
      </c>
      <c r="AI373" s="362"/>
    </row>
    <row r="374" spans="1:35">
      <c r="A374" s="291">
        <v>11362</v>
      </c>
      <c r="B374" s="291">
        <v>42594</v>
      </c>
      <c r="C374" s="292" t="s">
        <v>1439</v>
      </c>
      <c r="D374" s="293" t="s">
        <v>677</v>
      </c>
      <c r="E374" s="293" t="str">
        <f t="shared" si="5"/>
        <v>G</v>
      </c>
      <c r="F374" s="293" t="s">
        <v>126</v>
      </c>
      <c r="G374" s="294">
        <v>1076</v>
      </c>
      <c r="H374" s="292" t="s">
        <v>142</v>
      </c>
      <c r="I374" s="292" t="s">
        <v>1440</v>
      </c>
      <c r="J374" s="293" t="s">
        <v>336</v>
      </c>
      <c r="K374" s="293" t="s">
        <v>507</v>
      </c>
      <c r="L374" s="293" t="s">
        <v>377</v>
      </c>
      <c r="M374" s="293" t="s">
        <v>507</v>
      </c>
      <c r="N374" s="295">
        <v>1594</v>
      </c>
      <c r="O374" s="296" t="s">
        <v>673</v>
      </c>
      <c r="P374" s="295">
        <v>0</v>
      </c>
      <c r="Q374" s="295">
        <v>0</v>
      </c>
      <c r="R374" s="295">
        <v>0</v>
      </c>
      <c r="S374" s="295">
        <v>1599</v>
      </c>
      <c r="T374" s="295">
        <v>1599</v>
      </c>
      <c r="U374" s="295">
        <v>30</v>
      </c>
      <c r="V374" s="295">
        <v>10</v>
      </c>
      <c r="W374" s="295">
        <v>5.5</v>
      </c>
      <c r="X374" s="295">
        <v>5</v>
      </c>
      <c r="Y374" s="295">
        <v>18</v>
      </c>
      <c r="Z374" s="295">
        <v>15</v>
      </c>
      <c r="AA374" s="295">
        <v>0</v>
      </c>
      <c r="AB374" s="295">
        <v>0</v>
      </c>
      <c r="AC374" s="295">
        <v>0</v>
      </c>
      <c r="AD374" s="295">
        <v>0</v>
      </c>
      <c r="AE374" s="295">
        <v>0</v>
      </c>
      <c r="AF374" s="295">
        <v>0</v>
      </c>
      <c r="AG374" s="295">
        <v>0</v>
      </c>
      <c r="AH374" s="295">
        <v>1682.5</v>
      </c>
      <c r="AI374" s="362"/>
    </row>
    <row r="375" spans="1:35">
      <c r="A375" s="291">
        <v>32129</v>
      </c>
      <c r="B375" s="291">
        <v>43195</v>
      </c>
      <c r="C375" s="292" t="s">
        <v>1441</v>
      </c>
      <c r="D375" s="293" t="s">
        <v>872</v>
      </c>
      <c r="E375" s="293" t="str">
        <f t="shared" si="5"/>
        <v>G</v>
      </c>
      <c r="F375" s="293" t="s">
        <v>126</v>
      </c>
      <c r="G375" s="294">
        <v>1010</v>
      </c>
      <c r="H375" s="292" t="s">
        <v>97</v>
      </c>
      <c r="I375" s="292" t="s">
        <v>2179</v>
      </c>
      <c r="J375" s="293" t="s">
        <v>476</v>
      </c>
      <c r="K375" s="293"/>
      <c r="L375" s="293" t="s">
        <v>476</v>
      </c>
      <c r="M375" s="293" t="s">
        <v>2119</v>
      </c>
      <c r="N375" s="295">
        <v>1514</v>
      </c>
      <c r="O375" s="296" t="s">
        <v>673</v>
      </c>
      <c r="P375" s="295">
        <v>0</v>
      </c>
      <c r="Q375" s="295">
        <v>0</v>
      </c>
      <c r="R375" s="295">
        <v>0</v>
      </c>
      <c r="S375" s="295">
        <v>1484</v>
      </c>
      <c r="T375" s="295">
        <v>1484</v>
      </c>
      <c r="U375" s="295">
        <v>30</v>
      </c>
      <c r="V375" s="295">
        <v>10</v>
      </c>
      <c r="W375" s="295">
        <v>5.5</v>
      </c>
      <c r="X375" s="295">
        <v>5</v>
      </c>
      <c r="Y375" s="295">
        <v>18</v>
      </c>
      <c r="Z375" s="295">
        <v>15</v>
      </c>
      <c r="AA375" s="295">
        <v>70</v>
      </c>
      <c r="AB375" s="295">
        <v>0</v>
      </c>
      <c r="AC375" s="295">
        <v>0</v>
      </c>
      <c r="AD375" s="295">
        <v>0</v>
      </c>
      <c r="AE375" s="295">
        <v>0</v>
      </c>
      <c r="AF375" s="295">
        <v>-500</v>
      </c>
      <c r="AG375" s="295">
        <v>0</v>
      </c>
      <c r="AH375" s="295">
        <v>1137.5</v>
      </c>
      <c r="AI375" s="362"/>
    </row>
    <row r="376" spans="1:35">
      <c r="A376" s="291">
        <v>32025</v>
      </c>
      <c r="B376" s="291">
        <v>42995</v>
      </c>
      <c r="C376" s="292" t="s">
        <v>1442</v>
      </c>
      <c r="D376" s="293" t="s">
        <v>160</v>
      </c>
      <c r="E376" s="293" t="str">
        <f t="shared" si="5"/>
        <v>Q</v>
      </c>
      <c r="F376" s="293" t="s">
        <v>126</v>
      </c>
      <c r="G376" s="294">
        <v>1010</v>
      </c>
      <c r="H376" s="292" t="s">
        <v>97</v>
      </c>
      <c r="I376" s="292" t="s">
        <v>2024</v>
      </c>
      <c r="J376" s="293" t="s">
        <v>1335</v>
      </c>
      <c r="K376" s="293"/>
      <c r="L376" s="293" t="s">
        <v>1335</v>
      </c>
      <c r="M376" s="293" t="s">
        <v>1831</v>
      </c>
      <c r="N376" s="295">
        <v>1564</v>
      </c>
      <c r="O376" s="296" t="s">
        <v>673</v>
      </c>
      <c r="P376" s="295">
        <v>0</v>
      </c>
      <c r="Q376" s="295">
        <v>0</v>
      </c>
      <c r="R376" s="295">
        <v>0</v>
      </c>
      <c r="S376" s="295">
        <v>1544</v>
      </c>
      <c r="T376" s="295">
        <v>1544</v>
      </c>
      <c r="U376" s="295">
        <v>30</v>
      </c>
      <c r="V376" s="295">
        <v>10</v>
      </c>
      <c r="W376" s="295">
        <v>5.5</v>
      </c>
      <c r="X376" s="295">
        <v>5</v>
      </c>
      <c r="Y376" s="295">
        <v>18</v>
      </c>
      <c r="Z376" s="295">
        <v>0</v>
      </c>
      <c r="AA376" s="295">
        <v>70</v>
      </c>
      <c r="AB376" s="295">
        <v>0</v>
      </c>
      <c r="AC376" s="295">
        <v>0</v>
      </c>
      <c r="AD376" s="295">
        <v>0</v>
      </c>
      <c r="AE376" s="295">
        <v>0</v>
      </c>
      <c r="AF376" s="295">
        <v>0</v>
      </c>
      <c r="AG376" s="295">
        <v>0</v>
      </c>
      <c r="AH376" s="295">
        <v>1682.5</v>
      </c>
      <c r="AI376" s="362"/>
    </row>
    <row r="377" spans="1:35">
      <c r="A377" s="291">
        <v>31600</v>
      </c>
      <c r="B377" s="291">
        <v>42835</v>
      </c>
      <c r="C377" s="292" t="s">
        <v>1443</v>
      </c>
      <c r="D377" s="293" t="s">
        <v>147</v>
      </c>
      <c r="E377" s="293" t="str">
        <f t="shared" si="5"/>
        <v>Q</v>
      </c>
      <c r="F377" s="293" t="s">
        <v>126</v>
      </c>
      <c r="G377" s="294">
        <v>1076</v>
      </c>
      <c r="H377" s="292" t="s">
        <v>97</v>
      </c>
      <c r="I377" s="292" t="s">
        <v>1444</v>
      </c>
      <c r="J377" s="293" t="s">
        <v>696</v>
      </c>
      <c r="K377" s="293"/>
      <c r="L377" s="293" t="s">
        <v>419</v>
      </c>
      <c r="M377" s="293" t="s">
        <v>1801</v>
      </c>
      <c r="N377" s="295">
        <v>1644</v>
      </c>
      <c r="O377" s="296" t="s">
        <v>673</v>
      </c>
      <c r="P377" s="295">
        <v>0</v>
      </c>
      <c r="Q377" s="295">
        <v>0</v>
      </c>
      <c r="R377" s="295">
        <v>72.48</v>
      </c>
      <c r="S377" s="295">
        <v>1674</v>
      </c>
      <c r="T377" s="295">
        <v>1674</v>
      </c>
      <c r="U377" s="295">
        <v>30</v>
      </c>
      <c r="V377" s="295">
        <v>10</v>
      </c>
      <c r="W377" s="295">
        <v>5.5</v>
      </c>
      <c r="X377" s="295">
        <v>5</v>
      </c>
      <c r="Y377" s="295">
        <v>18</v>
      </c>
      <c r="Z377" s="295">
        <v>0</v>
      </c>
      <c r="AA377" s="295">
        <v>70</v>
      </c>
      <c r="AB377" s="295">
        <v>0</v>
      </c>
      <c r="AC377" s="295">
        <v>0</v>
      </c>
      <c r="AD377" s="295">
        <v>0</v>
      </c>
      <c r="AE377" s="295">
        <v>0</v>
      </c>
      <c r="AF377" s="295">
        <v>0</v>
      </c>
      <c r="AG377" s="295">
        <v>0</v>
      </c>
      <c r="AH377" s="295">
        <v>1812.5</v>
      </c>
      <c r="AI377" s="362"/>
    </row>
    <row r="378" spans="1:35">
      <c r="A378" s="291">
        <v>32020</v>
      </c>
      <c r="B378" s="291">
        <v>42987</v>
      </c>
      <c r="C378" s="292" t="s">
        <v>1445</v>
      </c>
      <c r="D378" s="293" t="s">
        <v>147</v>
      </c>
      <c r="E378" s="293" t="str">
        <f t="shared" si="5"/>
        <v>Q</v>
      </c>
      <c r="F378" s="293" t="s">
        <v>126</v>
      </c>
      <c r="G378" s="294">
        <v>1076</v>
      </c>
      <c r="H378" s="292" t="s">
        <v>97</v>
      </c>
      <c r="I378" s="292" t="s">
        <v>2025</v>
      </c>
      <c r="J378" s="293" t="s">
        <v>1985</v>
      </c>
      <c r="K378" s="293"/>
      <c r="L378" s="293" t="s">
        <v>1985</v>
      </c>
      <c r="M378" s="293" t="s">
        <v>1983</v>
      </c>
      <c r="N378" s="295">
        <v>1644</v>
      </c>
      <c r="O378" s="296" t="s">
        <v>673</v>
      </c>
      <c r="P378" s="295">
        <v>0</v>
      </c>
      <c r="Q378" s="295">
        <v>0</v>
      </c>
      <c r="R378" s="295">
        <v>-0.38</v>
      </c>
      <c r="S378" s="295">
        <v>1574</v>
      </c>
      <c r="T378" s="295">
        <v>1574</v>
      </c>
      <c r="U378" s="295">
        <v>30</v>
      </c>
      <c r="V378" s="295">
        <v>10</v>
      </c>
      <c r="W378" s="295">
        <v>5.5</v>
      </c>
      <c r="X378" s="295">
        <v>5</v>
      </c>
      <c r="Y378" s="295">
        <v>18</v>
      </c>
      <c r="Z378" s="295">
        <v>30</v>
      </c>
      <c r="AA378" s="295">
        <v>70</v>
      </c>
      <c r="AB378" s="295">
        <v>35</v>
      </c>
      <c r="AC378" s="295">
        <v>0</v>
      </c>
      <c r="AD378" s="295">
        <v>0</v>
      </c>
      <c r="AE378" s="295">
        <v>0</v>
      </c>
      <c r="AF378" s="295">
        <v>0</v>
      </c>
      <c r="AG378" s="295">
        <v>0</v>
      </c>
      <c r="AH378" s="295">
        <v>1777.5</v>
      </c>
      <c r="AI378" s="362"/>
    </row>
    <row r="379" spans="1:35">
      <c r="A379" s="291">
        <v>31969</v>
      </c>
      <c r="B379" s="291">
        <v>42897</v>
      </c>
      <c r="C379" s="292" t="s">
        <v>1446</v>
      </c>
      <c r="D379" s="293" t="s">
        <v>872</v>
      </c>
      <c r="E379" s="293" t="str">
        <f t="shared" si="5"/>
        <v>G</v>
      </c>
      <c r="F379" s="293" t="s">
        <v>126</v>
      </c>
      <c r="G379" s="294">
        <v>1010</v>
      </c>
      <c r="H379" s="292" t="s">
        <v>358</v>
      </c>
      <c r="I379" s="292" t="s">
        <v>1886</v>
      </c>
      <c r="J379" s="293" t="s">
        <v>1251</v>
      </c>
      <c r="K379" s="293" t="s">
        <v>2180</v>
      </c>
      <c r="L379" s="293" t="s">
        <v>1251</v>
      </c>
      <c r="M379" s="293" t="s">
        <v>472</v>
      </c>
      <c r="N379" s="295">
        <v>1514</v>
      </c>
      <c r="O379" s="296" t="s">
        <v>673</v>
      </c>
      <c r="P379" s="295">
        <v>0</v>
      </c>
      <c r="Q379" s="295">
        <v>0</v>
      </c>
      <c r="R379" s="295">
        <v>0</v>
      </c>
      <c r="S379" s="295">
        <v>1504</v>
      </c>
      <c r="T379" s="295">
        <v>1504</v>
      </c>
      <c r="U379" s="295">
        <v>30</v>
      </c>
      <c r="V379" s="295">
        <v>10</v>
      </c>
      <c r="W379" s="295">
        <v>5.5</v>
      </c>
      <c r="X379" s="295">
        <v>5</v>
      </c>
      <c r="Y379" s="295">
        <v>18</v>
      </c>
      <c r="Z379" s="295">
        <v>0</v>
      </c>
      <c r="AA379" s="295">
        <v>70</v>
      </c>
      <c r="AB379" s="295">
        <v>0</v>
      </c>
      <c r="AC379" s="295">
        <v>75</v>
      </c>
      <c r="AD379" s="295">
        <v>250</v>
      </c>
      <c r="AE379" s="295">
        <v>0</v>
      </c>
      <c r="AF379" s="295">
        <v>0</v>
      </c>
      <c r="AG379" s="295">
        <v>0</v>
      </c>
      <c r="AH379" s="295">
        <v>1967.5</v>
      </c>
      <c r="AI379" s="362"/>
    </row>
    <row r="380" spans="1:35">
      <c r="A380" s="291">
        <v>32153</v>
      </c>
      <c r="B380" s="291">
        <v>43249</v>
      </c>
      <c r="C380" s="292" t="s">
        <v>1446</v>
      </c>
      <c r="D380" s="293" t="s">
        <v>872</v>
      </c>
      <c r="E380" s="293" t="str">
        <f t="shared" si="5"/>
        <v>G</v>
      </c>
      <c r="F380" s="293" t="s">
        <v>126</v>
      </c>
      <c r="G380" s="294">
        <v>1010</v>
      </c>
      <c r="H380" s="292" t="s">
        <v>2082</v>
      </c>
      <c r="I380" s="292" t="s">
        <v>2181</v>
      </c>
      <c r="J380" s="293" t="s">
        <v>501</v>
      </c>
      <c r="K380" s="293"/>
      <c r="L380" s="293" t="s">
        <v>501</v>
      </c>
      <c r="M380" s="293" t="s">
        <v>2174</v>
      </c>
      <c r="N380" s="295">
        <v>0</v>
      </c>
      <c r="O380" s="296" t="s">
        <v>673</v>
      </c>
      <c r="P380" s="295">
        <v>0</v>
      </c>
      <c r="Q380" s="295">
        <v>0</v>
      </c>
      <c r="R380" s="295">
        <v>0</v>
      </c>
      <c r="S380" s="295">
        <v>1514</v>
      </c>
      <c r="T380" s="295">
        <v>1514</v>
      </c>
      <c r="U380" s="295">
        <v>30</v>
      </c>
      <c r="V380" s="295">
        <v>10</v>
      </c>
      <c r="W380" s="295">
        <v>5.5</v>
      </c>
      <c r="X380" s="295">
        <v>5</v>
      </c>
      <c r="Y380" s="295">
        <v>18</v>
      </c>
      <c r="Z380" s="295">
        <v>0</v>
      </c>
      <c r="AA380" s="295">
        <v>70</v>
      </c>
      <c r="AB380" s="295">
        <v>0</v>
      </c>
      <c r="AC380" s="295">
        <v>0</v>
      </c>
      <c r="AD380" s="295">
        <v>0</v>
      </c>
      <c r="AE380" s="295">
        <v>0</v>
      </c>
      <c r="AF380" s="295">
        <v>0</v>
      </c>
      <c r="AG380" s="295">
        <v>0</v>
      </c>
      <c r="AH380" s="295">
        <v>1652.5</v>
      </c>
      <c r="AI380" s="362"/>
    </row>
    <row r="381" spans="1:35">
      <c r="A381" s="291">
        <v>0</v>
      </c>
      <c r="B381" s="291">
        <v>0</v>
      </c>
      <c r="C381" s="292" t="s">
        <v>1447</v>
      </c>
      <c r="D381" s="293" t="s">
        <v>281</v>
      </c>
      <c r="E381" s="293" t="str">
        <f t="shared" si="5"/>
        <v>G</v>
      </c>
      <c r="F381" s="293" t="s">
        <v>126</v>
      </c>
      <c r="G381" s="294">
        <v>700</v>
      </c>
      <c r="H381" s="292" t="s">
        <v>101</v>
      </c>
      <c r="I381" s="292" t="s">
        <v>682</v>
      </c>
      <c r="J381" s="293"/>
      <c r="K381" s="293"/>
      <c r="L381" s="293"/>
      <c r="M381" s="293"/>
      <c r="N381" s="295">
        <v>1304</v>
      </c>
      <c r="O381" s="296"/>
      <c r="P381" s="295">
        <v>0</v>
      </c>
      <c r="Q381" s="295">
        <v>0</v>
      </c>
      <c r="R381" s="295">
        <v>0</v>
      </c>
      <c r="S381" s="295">
        <v>0</v>
      </c>
      <c r="T381" s="295">
        <v>0</v>
      </c>
      <c r="U381" s="295">
        <v>0</v>
      </c>
      <c r="V381" s="295">
        <v>0</v>
      </c>
      <c r="W381" s="295">
        <v>0</v>
      </c>
      <c r="X381" s="295">
        <v>0</v>
      </c>
      <c r="Y381" s="295">
        <v>0</v>
      </c>
      <c r="Z381" s="295">
        <v>0</v>
      </c>
      <c r="AA381" s="295">
        <v>0</v>
      </c>
      <c r="AB381" s="295">
        <v>0</v>
      </c>
      <c r="AC381" s="295">
        <v>0</v>
      </c>
      <c r="AD381" s="295">
        <v>0</v>
      </c>
      <c r="AE381" s="295">
        <v>0</v>
      </c>
      <c r="AF381" s="295">
        <v>0</v>
      </c>
      <c r="AG381" s="295">
        <v>0</v>
      </c>
      <c r="AH381" s="295">
        <v>0</v>
      </c>
      <c r="AI381" s="362"/>
    </row>
    <row r="382" spans="1:35">
      <c r="A382" s="291">
        <v>0</v>
      </c>
      <c r="B382" s="291">
        <v>0</v>
      </c>
      <c r="C382" s="292" t="s">
        <v>1449</v>
      </c>
      <c r="D382" s="293" t="s">
        <v>167</v>
      </c>
      <c r="E382" s="293" t="str">
        <f t="shared" si="5"/>
        <v>Q</v>
      </c>
      <c r="F382" s="293" t="s">
        <v>126</v>
      </c>
      <c r="G382" s="294">
        <v>700</v>
      </c>
      <c r="H382" s="292" t="s">
        <v>101</v>
      </c>
      <c r="I382" s="292" t="s">
        <v>682</v>
      </c>
      <c r="J382" s="293"/>
      <c r="K382" s="293"/>
      <c r="L382" s="293"/>
      <c r="M382" s="293"/>
      <c r="N382" s="295">
        <v>1344</v>
      </c>
      <c r="O382" s="296"/>
      <c r="P382" s="295">
        <v>0</v>
      </c>
      <c r="Q382" s="295">
        <v>0</v>
      </c>
      <c r="R382" s="295">
        <v>0</v>
      </c>
      <c r="S382" s="295">
        <v>0</v>
      </c>
      <c r="T382" s="295">
        <v>0</v>
      </c>
      <c r="U382" s="295">
        <v>0</v>
      </c>
      <c r="V382" s="295">
        <v>0</v>
      </c>
      <c r="W382" s="295">
        <v>0</v>
      </c>
      <c r="X382" s="295">
        <v>0</v>
      </c>
      <c r="Y382" s="295">
        <v>0</v>
      </c>
      <c r="Z382" s="295">
        <v>0</v>
      </c>
      <c r="AA382" s="295">
        <v>0</v>
      </c>
      <c r="AB382" s="295">
        <v>0</v>
      </c>
      <c r="AC382" s="295">
        <v>0</v>
      </c>
      <c r="AD382" s="295">
        <v>0</v>
      </c>
      <c r="AE382" s="295">
        <v>0</v>
      </c>
      <c r="AF382" s="295">
        <v>0</v>
      </c>
      <c r="AG382" s="295">
        <v>0</v>
      </c>
      <c r="AH382" s="295">
        <v>0</v>
      </c>
      <c r="AI382" s="362"/>
    </row>
    <row r="383" spans="1:35">
      <c r="A383" s="291">
        <v>32013</v>
      </c>
      <c r="B383" s="291">
        <v>42970</v>
      </c>
      <c r="C383" s="292" t="s">
        <v>1451</v>
      </c>
      <c r="D383" s="293" t="s">
        <v>167</v>
      </c>
      <c r="E383" s="293" t="str">
        <f t="shared" si="5"/>
        <v>Q</v>
      </c>
      <c r="F383" s="293" t="s">
        <v>126</v>
      </c>
      <c r="G383" s="294">
        <v>700</v>
      </c>
      <c r="H383" s="292" t="s">
        <v>97</v>
      </c>
      <c r="I383" s="292" t="s">
        <v>1887</v>
      </c>
      <c r="J383" s="293" t="s">
        <v>1888</v>
      </c>
      <c r="K383" s="293"/>
      <c r="L383" s="293" t="s">
        <v>1888</v>
      </c>
      <c r="M383" s="293" t="s">
        <v>1889</v>
      </c>
      <c r="N383" s="295">
        <v>1344</v>
      </c>
      <c r="O383" s="296" t="s">
        <v>673</v>
      </c>
      <c r="P383" s="295">
        <v>0</v>
      </c>
      <c r="Q383" s="295">
        <v>0</v>
      </c>
      <c r="R383" s="295">
        <v>0</v>
      </c>
      <c r="S383" s="295">
        <v>1304</v>
      </c>
      <c r="T383" s="295">
        <v>1304</v>
      </c>
      <c r="U383" s="295">
        <v>30</v>
      </c>
      <c r="V383" s="295">
        <v>10</v>
      </c>
      <c r="W383" s="295">
        <v>5.5</v>
      </c>
      <c r="X383" s="295">
        <v>5</v>
      </c>
      <c r="Y383" s="295">
        <v>18</v>
      </c>
      <c r="Z383" s="295">
        <v>0</v>
      </c>
      <c r="AA383" s="295">
        <v>70</v>
      </c>
      <c r="AB383" s="295">
        <v>0</v>
      </c>
      <c r="AC383" s="295">
        <v>0</v>
      </c>
      <c r="AD383" s="295">
        <v>0</v>
      </c>
      <c r="AE383" s="295">
        <v>0</v>
      </c>
      <c r="AF383" s="295">
        <v>0</v>
      </c>
      <c r="AG383" s="295">
        <v>0</v>
      </c>
      <c r="AH383" s="295">
        <v>1442.5</v>
      </c>
      <c r="AI383" s="362"/>
    </row>
    <row r="384" spans="1:35">
      <c r="A384" s="291">
        <v>32080</v>
      </c>
      <c r="B384" s="291">
        <v>43111</v>
      </c>
      <c r="C384" s="292" t="s">
        <v>1452</v>
      </c>
      <c r="D384" s="293" t="s">
        <v>164</v>
      </c>
      <c r="E384" s="293" t="str">
        <f t="shared" si="5"/>
        <v>F</v>
      </c>
      <c r="F384" s="293" t="s">
        <v>126</v>
      </c>
      <c r="G384" s="294">
        <v>700</v>
      </c>
      <c r="H384" s="292" t="s">
        <v>97</v>
      </c>
      <c r="I384" s="292" t="s">
        <v>2026</v>
      </c>
      <c r="J384" s="293" t="s">
        <v>2027</v>
      </c>
      <c r="K384" s="293"/>
      <c r="L384" s="293" t="s">
        <v>2027</v>
      </c>
      <c r="M384" s="293" t="s">
        <v>1939</v>
      </c>
      <c r="N384" s="295">
        <v>1264</v>
      </c>
      <c r="O384" s="296" t="s">
        <v>673</v>
      </c>
      <c r="P384" s="295">
        <v>0</v>
      </c>
      <c r="Q384" s="295">
        <v>0</v>
      </c>
      <c r="R384" s="295">
        <v>0</v>
      </c>
      <c r="S384" s="295">
        <v>1094</v>
      </c>
      <c r="T384" s="295">
        <v>1094</v>
      </c>
      <c r="U384" s="295">
        <v>30</v>
      </c>
      <c r="V384" s="295">
        <v>10</v>
      </c>
      <c r="W384" s="295">
        <v>5.5</v>
      </c>
      <c r="X384" s="295">
        <v>5</v>
      </c>
      <c r="Y384" s="295">
        <v>18</v>
      </c>
      <c r="Z384" s="295">
        <v>0</v>
      </c>
      <c r="AA384" s="295">
        <v>70</v>
      </c>
      <c r="AB384" s="295">
        <v>0</v>
      </c>
      <c r="AC384" s="295">
        <v>0</v>
      </c>
      <c r="AD384" s="295">
        <v>0</v>
      </c>
      <c r="AE384" s="295">
        <v>0</v>
      </c>
      <c r="AF384" s="295">
        <v>0</v>
      </c>
      <c r="AG384" s="295">
        <v>0</v>
      </c>
      <c r="AH384" s="295">
        <v>1232.5</v>
      </c>
      <c r="AI384" s="362"/>
    </row>
    <row r="385" spans="1:35">
      <c r="A385" s="291">
        <v>173</v>
      </c>
      <c r="B385" s="291">
        <v>43013</v>
      </c>
      <c r="C385" s="292" t="s">
        <v>1453</v>
      </c>
      <c r="D385" s="293" t="s">
        <v>167</v>
      </c>
      <c r="E385" s="293" t="str">
        <f t="shared" si="5"/>
        <v>Q</v>
      </c>
      <c r="F385" s="293" t="s">
        <v>126</v>
      </c>
      <c r="G385" s="294">
        <v>700</v>
      </c>
      <c r="H385" s="292" t="s">
        <v>97</v>
      </c>
      <c r="I385" s="292" t="s">
        <v>1454</v>
      </c>
      <c r="J385" s="293" t="s">
        <v>1455</v>
      </c>
      <c r="K385" s="293"/>
      <c r="L385" s="293" t="s">
        <v>460</v>
      </c>
      <c r="M385" s="293" t="s">
        <v>2007</v>
      </c>
      <c r="N385" s="295">
        <v>1344</v>
      </c>
      <c r="O385" s="296" t="s">
        <v>673</v>
      </c>
      <c r="P385" s="295">
        <v>0</v>
      </c>
      <c r="Q385" s="295">
        <v>0</v>
      </c>
      <c r="R385" s="295">
        <v>0</v>
      </c>
      <c r="S385" s="295">
        <v>1379</v>
      </c>
      <c r="T385" s="295">
        <v>1379</v>
      </c>
      <c r="U385" s="295">
        <v>30</v>
      </c>
      <c r="V385" s="295">
        <v>10</v>
      </c>
      <c r="W385" s="295">
        <v>5.5</v>
      </c>
      <c r="X385" s="295">
        <v>5</v>
      </c>
      <c r="Y385" s="295">
        <v>18</v>
      </c>
      <c r="Z385" s="295">
        <v>15</v>
      </c>
      <c r="AA385" s="295">
        <v>70</v>
      </c>
      <c r="AB385" s="295">
        <v>0</v>
      </c>
      <c r="AC385" s="295">
        <v>0</v>
      </c>
      <c r="AD385" s="295">
        <v>0</v>
      </c>
      <c r="AE385" s="295">
        <v>0</v>
      </c>
      <c r="AF385" s="295">
        <v>0</v>
      </c>
      <c r="AG385" s="295">
        <v>0</v>
      </c>
      <c r="AH385" s="295">
        <v>1532.5</v>
      </c>
      <c r="AI385" s="362"/>
    </row>
    <row r="386" spans="1:35">
      <c r="A386" s="291">
        <v>32103</v>
      </c>
      <c r="B386" s="291">
        <v>43141</v>
      </c>
      <c r="C386" s="292" t="s">
        <v>1456</v>
      </c>
      <c r="D386" s="293" t="s">
        <v>281</v>
      </c>
      <c r="E386" s="293" t="str">
        <f t="shared" si="5"/>
        <v>G</v>
      </c>
      <c r="F386" s="293" t="s">
        <v>126</v>
      </c>
      <c r="G386" s="294">
        <v>700</v>
      </c>
      <c r="H386" s="292" t="s">
        <v>97</v>
      </c>
      <c r="I386" s="292" t="s">
        <v>2182</v>
      </c>
      <c r="J386" s="293" t="s">
        <v>492</v>
      </c>
      <c r="K386" s="293"/>
      <c r="L386" s="293" t="s">
        <v>492</v>
      </c>
      <c r="M386" s="293" t="s">
        <v>2105</v>
      </c>
      <c r="N386" s="295">
        <v>1304</v>
      </c>
      <c r="O386" s="296" t="s">
        <v>673</v>
      </c>
      <c r="P386" s="295">
        <v>0</v>
      </c>
      <c r="Q386" s="295">
        <v>0</v>
      </c>
      <c r="R386" s="295">
        <v>0</v>
      </c>
      <c r="S386" s="295">
        <v>1234</v>
      </c>
      <c r="T386" s="295">
        <v>1234</v>
      </c>
      <c r="U386" s="295">
        <v>30</v>
      </c>
      <c r="V386" s="295">
        <v>10</v>
      </c>
      <c r="W386" s="295">
        <v>5.5</v>
      </c>
      <c r="X386" s="295">
        <v>5</v>
      </c>
      <c r="Y386" s="295">
        <v>18</v>
      </c>
      <c r="Z386" s="295">
        <v>0</v>
      </c>
      <c r="AA386" s="295">
        <v>70</v>
      </c>
      <c r="AB386" s="295">
        <v>70</v>
      </c>
      <c r="AC386" s="295">
        <v>0</v>
      </c>
      <c r="AD386" s="295">
        <v>0</v>
      </c>
      <c r="AE386" s="295">
        <v>0</v>
      </c>
      <c r="AF386" s="295">
        <v>0</v>
      </c>
      <c r="AG386" s="295">
        <v>0</v>
      </c>
      <c r="AH386" s="295">
        <v>1442.5</v>
      </c>
      <c r="AI386" s="362"/>
    </row>
    <row r="387" spans="1:35">
      <c r="A387" s="291">
        <v>153</v>
      </c>
      <c r="B387" s="291">
        <v>42940</v>
      </c>
      <c r="C387" s="292" t="s">
        <v>1459</v>
      </c>
      <c r="D387" s="293" t="s">
        <v>166</v>
      </c>
      <c r="E387" s="293" t="str">
        <f t="shared" si="5"/>
        <v>2</v>
      </c>
      <c r="F387" s="293" t="s">
        <v>126</v>
      </c>
      <c r="G387" s="294">
        <v>700</v>
      </c>
      <c r="H387" s="292" t="s">
        <v>97</v>
      </c>
      <c r="I387" s="292" t="s">
        <v>1460</v>
      </c>
      <c r="J387" s="293" t="s">
        <v>1461</v>
      </c>
      <c r="K387" s="293"/>
      <c r="L387" s="293" t="s">
        <v>2028</v>
      </c>
      <c r="M387" s="293" t="s">
        <v>1969</v>
      </c>
      <c r="N387" s="295">
        <v>1334</v>
      </c>
      <c r="O387" s="296" t="s">
        <v>673</v>
      </c>
      <c r="P387" s="295">
        <v>0</v>
      </c>
      <c r="Q387" s="295">
        <v>0</v>
      </c>
      <c r="R387" s="295">
        <v>0</v>
      </c>
      <c r="S387" s="295">
        <v>1399</v>
      </c>
      <c r="T387" s="295">
        <v>1399</v>
      </c>
      <c r="U387" s="295">
        <v>30</v>
      </c>
      <c r="V387" s="295">
        <v>10</v>
      </c>
      <c r="W387" s="295">
        <v>5.5</v>
      </c>
      <c r="X387" s="295">
        <v>5</v>
      </c>
      <c r="Y387" s="295">
        <v>0</v>
      </c>
      <c r="Z387" s="295">
        <v>15</v>
      </c>
      <c r="AA387" s="295">
        <v>70</v>
      </c>
      <c r="AB387" s="295">
        <v>0</v>
      </c>
      <c r="AC387" s="295">
        <v>0</v>
      </c>
      <c r="AD387" s="295">
        <v>0</v>
      </c>
      <c r="AE387" s="295">
        <v>0</v>
      </c>
      <c r="AF387" s="295">
        <v>0</v>
      </c>
      <c r="AG387" s="295">
        <v>0</v>
      </c>
      <c r="AH387" s="295">
        <v>1534.5</v>
      </c>
      <c r="AI387" s="362"/>
    </row>
    <row r="388" spans="1:35">
      <c r="A388" s="291">
        <v>640</v>
      </c>
      <c r="B388" s="291">
        <v>42686</v>
      </c>
      <c r="C388" s="292" t="s">
        <v>1463</v>
      </c>
      <c r="D388" s="293" t="s">
        <v>164</v>
      </c>
      <c r="E388" s="293" t="str">
        <f t="shared" si="5"/>
        <v>F</v>
      </c>
      <c r="F388" s="293" t="s">
        <v>126</v>
      </c>
      <c r="G388" s="294">
        <v>700</v>
      </c>
      <c r="H388" s="292" t="s">
        <v>97</v>
      </c>
      <c r="I388" s="292" t="s">
        <v>1464</v>
      </c>
      <c r="J388" s="293" t="s">
        <v>1426</v>
      </c>
      <c r="K388" s="293"/>
      <c r="L388" s="293" t="s">
        <v>497</v>
      </c>
      <c r="M388" s="293" t="s">
        <v>520</v>
      </c>
      <c r="N388" s="295">
        <v>1234</v>
      </c>
      <c r="O388" s="296" t="s">
        <v>673</v>
      </c>
      <c r="P388" s="295">
        <v>0</v>
      </c>
      <c r="Q388" s="295">
        <v>0</v>
      </c>
      <c r="R388" s="295">
        <v>0</v>
      </c>
      <c r="S388" s="295">
        <v>1310</v>
      </c>
      <c r="T388" s="295">
        <v>1310</v>
      </c>
      <c r="U388" s="295">
        <v>30</v>
      </c>
      <c r="V388" s="295">
        <v>10</v>
      </c>
      <c r="W388" s="295">
        <v>5.5</v>
      </c>
      <c r="X388" s="295">
        <v>5</v>
      </c>
      <c r="Y388" s="295">
        <v>18</v>
      </c>
      <c r="Z388" s="295">
        <v>15</v>
      </c>
      <c r="AA388" s="295">
        <v>0</v>
      </c>
      <c r="AB388" s="295">
        <v>35</v>
      </c>
      <c r="AC388" s="295">
        <v>0</v>
      </c>
      <c r="AD388" s="295">
        <v>0</v>
      </c>
      <c r="AE388" s="295">
        <v>0</v>
      </c>
      <c r="AF388" s="295">
        <v>0</v>
      </c>
      <c r="AG388" s="295">
        <v>0</v>
      </c>
      <c r="AH388" s="295">
        <v>1428.5</v>
      </c>
      <c r="AI388" s="362"/>
    </row>
    <row r="389" spans="1:35">
      <c r="A389" s="291">
        <v>0</v>
      </c>
      <c r="B389" s="291">
        <v>0</v>
      </c>
      <c r="C389" s="292" t="s">
        <v>1465</v>
      </c>
      <c r="D389" s="293" t="s">
        <v>160</v>
      </c>
      <c r="E389" s="293" t="str">
        <f t="shared" si="5"/>
        <v>Q</v>
      </c>
      <c r="F389" s="293" t="s">
        <v>126</v>
      </c>
      <c r="G389" s="294">
        <v>1010</v>
      </c>
      <c r="H389" s="292" t="s">
        <v>2183</v>
      </c>
      <c r="I389" s="292" t="s">
        <v>682</v>
      </c>
      <c r="J389" s="293"/>
      <c r="K389" s="293"/>
      <c r="L389" s="293"/>
      <c r="M389" s="293"/>
      <c r="N389" s="295">
        <v>1564</v>
      </c>
      <c r="O389" s="296"/>
      <c r="P389" s="295">
        <v>0</v>
      </c>
      <c r="Q389" s="295">
        <v>0</v>
      </c>
      <c r="R389" s="295">
        <v>0</v>
      </c>
      <c r="S389" s="295">
        <v>0</v>
      </c>
      <c r="T389" s="295">
        <v>0</v>
      </c>
      <c r="U389" s="295">
        <v>0</v>
      </c>
      <c r="V389" s="295">
        <v>0</v>
      </c>
      <c r="W389" s="295">
        <v>0</v>
      </c>
      <c r="X389" s="295">
        <v>0</v>
      </c>
      <c r="Y389" s="295">
        <v>0</v>
      </c>
      <c r="Z389" s="295">
        <v>0</v>
      </c>
      <c r="AA389" s="295">
        <v>0</v>
      </c>
      <c r="AB389" s="295">
        <v>0</v>
      </c>
      <c r="AC389" s="295">
        <v>0</v>
      </c>
      <c r="AD389" s="295">
        <v>0</v>
      </c>
      <c r="AE389" s="295">
        <v>0</v>
      </c>
      <c r="AF389" s="295">
        <v>0</v>
      </c>
      <c r="AG389" s="295">
        <v>0</v>
      </c>
      <c r="AH389" s="295">
        <v>0</v>
      </c>
      <c r="AI389" s="362"/>
    </row>
    <row r="390" spans="1:35">
      <c r="A390" s="291">
        <v>31902</v>
      </c>
      <c r="B390" s="291">
        <v>42760</v>
      </c>
      <c r="C390" s="292" t="s">
        <v>1466</v>
      </c>
      <c r="D390" s="293" t="s">
        <v>153</v>
      </c>
      <c r="E390" s="293" t="str">
        <f t="shared" si="5"/>
        <v>F</v>
      </c>
      <c r="F390" s="293" t="s">
        <v>126</v>
      </c>
      <c r="G390" s="294">
        <v>1076</v>
      </c>
      <c r="H390" s="292" t="s">
        <v>97</v>
      </c>
      <c r="I390" s="292" t="s">
        <v>1467</v>
      </c>
      <c r="J390" s="293" t="s">
        <v>493</v>
      </c>
      <c r="K390" s="293"/>
      <c r="L390" s="293" t="s">
        <v>493</v>
      </c>
      <c r="M390" s="293" t="s">
        <v>501</v>
      </c>
      <c r="N390" s="295">
        <v>1524</v>
      </c>
      <c r="O390" s="296" t="s">
        <v>673</v>
      </c>
      <c r="P390" s="295">
        <v>0</v>
      </c>
      <c r="Q390" s="295">
        <v>0</v>
      </c>
      <c r="R390" s="295">
        <v>0</v>
      </c>
      <c r="S390" s="295">
        <v>1504</v>
      </c>
      <c r="T390" s="295">
        <v>1504</v>
      </c>
      <c r="U390" s="295">
        <v>30</v>
      </c>
      <c r="V390" s="295">
        <v>10</v>
      </c>
      <c r="W390" s="295">
        <v>5.5</v>
      </c>
      <c r="X390" s="295">
        <v>5</v>
      </c>
      <c r="Y390" s="295">
        <v>18</v>
      </c>
      <c r="Z390" s="295">
        <v>0</v>
      </c>
      <c r="AA390" s="295">
        <v>70</v>
      </c>
      <c r="AB390" s="295">
        <v>0</v>
      </c>
      <c r="AC390" s="295">
        <v>0</v>
      </c>
      <c r="AD390" s="295">
        <v>0</v>
      </c>
      <c r="AE390" s="295">
        <v>0</v>
      </c>
      <c r="AF390" s="295">
        <v>0</v>
      </c>
      <c r="AG390" s="295">
        <v>0</v>
      </c>
      <c r="AH390" s="295">
        <v>1642.5</v>
      </c>
      <c r="AI390" s="362"/>
    </row>
    <row r="391" spans="1:35">
      <c r="A391" s="291">
        <v>381</v>
      </c>
      <c r="B391" s="291">
        <v>43242</v>
      </c>
      <c r="C391" s="292" t="s">
        <v>1468</v>
      </c>
      <c r="D391" s="293" t="s">
        <v>149</v>
      </c>
      <c r="E391" s="293" t="str">
        <f t="shared" si="5"/>
        <v>2</v>
      </c>
      <c r="F391" s="293" t="s">
        <v>126</v>
      </c>
      <c r="G391" s="294">
        <v>1076</v>
      </c>
      <c r="H391" s="292" t="s">
        <v>97</v>
      </c>
      <c r="I391" s="292" t="s">
        <v>1469</v>
      </c>
      <c r="J391" s="293" t="s">
        <v>1470</v>
      </c>
      <c r="K391" s="293"/>
      <c r="L391" s="293" t="s">
        <v>2184</v>
      </c>
      <c r="M391" s="293" t="s">
        <v>2114</v>
      </c>
      <c r="N391" s="295">
        <v>1624</v>
      </c>
      <c r="O391" s="296" t="s">
        <v>673</v>
      </c>
      <c r="P391" s="295">
        <v>500</v>
      </c>
      <c r="Q391" s="295">
        <v>500</v>
      </c>
      <c r="R391" s="295">
        <v>0</v>
      </c>
      <c r="S391" s="295">
        <v>1598</v>
      </c>
      <c r="T391" s="295">
        <v>1598</v>
      </c>
      <c r="U391" s="295">
        <v>30</v>
      </c>
      <c r="V391" s="295">
        <v>10</v>
      </c>
      <c r="W391" s="295">
        <v>5.5</v>
      </c>
      <c r="X391" s="295">
        <v>5</v>
      </c>
      <c r="Y391" s="295">
        <v>18</v>
      </c>
      <c r="Z391" s="295">
        <v>15</v>
      </c>
      <c r="AA391" s="295">
        <v>70</v>
      </c>
      <c r="AB391" s="295">
        <v>0</v>
      </c>
      <c r="AC391" s="295">
        <v>0</v>
      </c>
      <c r="AD391" s="295">
        <v>0</v>
      </c>
      <c r="AE391" s="295">
        <v>0</v>
      </c>
      <c r="AF391" s="295">
        <v>0</v>
      </c>
      <c r="AG391" s="295">
        <v>0</v>
      </c>
      <c r="AH391" s="295">
        <v>1751.5</v>
      </c>
      <c r="AI391" s="362"/>
    </row>
    <row r="392" spans="1:35">
      <c r="A392" s="291">
        <v>0</v>
      </c>
      <c r="B392" s="291">
        <v>0</v>
      </c>
      <c r="C392" s="292" t="s">
        <v>1471</v>
      </c>
      <c r="D392" s="293" t="s">
        <v>872</v>
      </c>
      <c r="E392" s="293" t="str">
        <f t="shared" ref="E392:E455" si="6">RIGHT(D392,1)</f>
        <v>G</v>
      </c>
      <c r="F392" s="293" t="s">
        <v>126</v>
      </c>
      <c r="G392" s="294">
        <v>1010</v>
      </c>
      <c r="H392" s="292" t="s">
        <v>140</v>
      </c>
      <c r="I392" s="292" t="s">
        <v>682</v>
      </c>
      <c r="J392" s="293"/>
      <c r="K392" s="293"/>
      <c r="L392" s="293"/>
      <c r="M392" s="293"/>
      <c r="N392" s="295">
        <v>1514</v>
      </c>
      <c r="O392" s="296"/>
      <c r="P392" s="295">
        <v>0</v>
      </c>
      <c r="Q392" s="295">
        <v>0</v>
      </c>
      <c r="R392" s="295">
        <v>0</v>
      </c>
      <c r="S392" s="295">
        <v>0</v>
      </c>
      <c r="T392" s="295">
        <v>0</v>
      </c>
      <c r="U392" s="295">
        <v>0</v>
      </c>
      <c r="V392" s="295">
        <v>0</v>
      </c>
      <c r="W392" s="295">
        <v>0</v>
      </c>
      <c r="X392" s="295">
        <v>0</v>
      </c>
      <c r="Y392" s="295">
        <v>0</v>
      </c>
      <c r="Z392" s="295">
        <v>0</v>
      </c>
      <c r="AA392" s="295">
        <v>0</v>
      </c>
      <c r="AB392" s="295">
        <v>0</v>
      </c>
      <c r="AC392" s="295">
        <v>0</v>
      </c>
      <c r="AD392" s="295">
        <v>0</v>
      </c>
      <c r="AE392" s="295">
        <v>0</v>
      </c>
      <c r="AF392" s="295">
        <v>0</v>
      </c>
      <c r="AG392" s="295">
        <v>0</v>
      </c>
      <c r="AH392" s="295">
        <v>0</v>
      </c>
      <c r="AI392" s="362"/>
    </row>
    <row r="393" spans="1:35">
      <c r="A393" s="291">
        <v>92</v>
      </c>
      <c r="B393" s="291">
        <v>43182</v>
      </c>
      <c r="C393" s="292" t="s">
        <v>1471</v>
      </c>
      <c r="D393" s="293" t="s">
        <v>872</v>
      </c>
      <c r="E393" s="293" t="str">
        <f t="shared" si="6"/>
        <v>G</v>
      </c>
      <c r="F393" s="293" t="s">
        <v>126</v>
      </c>
      <c r="G393" s="294">
        <v>1010</v>
      </c>
      <c r="H393" s="292" t="s">
        <v>2138</v>
      </c>
      <c r="I393" s="292" t="s">
        <v>1544</v>
      </c>
      <c r="J393" s="293" t="s">
        <v>1615</v>
      </c>
      <c r="K393" s="293"/>
      <c r="L393" s="293" t="s">
        <v>1615</v>
      </c>
      <c r="M393" s="293" t="s">
        <v>2185</v>
      </c>
      <c r="N393" s="295">
        <v>0</v>
      </c>
      <c r="O393" s="296" t="s">
        <v>673</v>
      </c>
      <c r="P393" s="295">
        <v>357</v>
      </c>
      <c r="Q393" s="295">
        <v>0</v>
      </c>
      <c r="R393" s="295">
        <v>0</v>
      </c>
      <c r="S393" s="295">
        <v>1365</v>
      </c>
      <c r="T393" s="295">
        <v>1365</v>
      </c>
      <c r="U393" s="295">
        <v>30</v>
      </c>
      <c r="V393" s="295">
        <v>10</v>
      </c>
      <c r="W393" s="295">
        <v>5.5</v>
      </c>
      <c r="X393" s="295">
        <v>5</v>
      </c>
      <c r="Y393" s="295">
        <v>18</v>
      </c>
      <c r="Z393" s="295">
        <v>0</v>
      </c>
      <c r="AA393" s="295">
        <v>70</v>
      </c>
      <c r="AB393" s="295">
        <v>0</v>
      </c>
      <c r="AC393" s="295">
        <v>0</v>
      </c>
      <c r="AD393" s="295">
        <v>0</v>
      </c>
      <c r="AE393" s="295">
        <v>0</v>
      </c>
      <c r="AF393" s="295">
        <v>0</v>
      </c>
      <c r="AG393" s="295">
        <v>0</v>
      </c>
      <c r="AH393" s="295">
        <v>1503.5</v>
      </c>
      <c r="AI393" s="362"/>
    </row>
    <row r="394" spans="1:35">
      <c r="A394" s="291">
        <v>32112</v>
      </c>
      <c r="B394" s="291">
        <v>43156</v>
      </c>
      <c r="C394" s="292" t="s">
        <v>1473</v>
      </c>
      <c r="D394" s="293" t="s">
        <v>160</v>
      </c>
      <c r="E394" s="293" t="str">
        <f t="shared" si="6"/>
        <v>Q</v>
      </c>
      <c r="F394" s="293" t="s">
        <v>126</v>
      </c>
      <c r="G394" s="294">
        <v>1010</v>
      </c>
      <c r="H394" s="292" t="s">
        <v>97</v>
      </c>
      <c r="I394" s="292" t="s">
        <v>2186</v>
      </c>
      <c r="J394" s="293" t="s">
        <v>1139</v>
      </c>
      <c r="K394" s="293"/>
      <c r="L394" s="293" t="s">
        <v>1139</v>
      </c>
      <c r="M394" s="293" t="s">
        <v>2187</v>
      </c>
      <c r="N394" s="295">
        <v>1564</v>
      </c>
      <c r="O394" s="296" t="s">
        <v>673</v>
      </c>
      <c r="P394" s="295">
        <v>0</v>
      </c>
      <c r="Q394" s="295">
        <v>0</v>
      </c>
      <c r="R394" s="295">
        <v>-47.37</v>
      </c>
      <c r="S394" s="295">
        <v>1534</v>
      </c>
      <c r="T394" s="295">
        <v>1534</v>
      </c>
      <c r="U394" s="295">
        <v>30</v>
      </c>
      <c r="V394" s="295">
        <v>10</v>
      </c>
      <c r="W394" s="295">
        <v>5.5</v>
      </c>
      <c r="X394" s="295">
        <v>5</v>
      </c>
      <c r="Y394" s="295">
        <v>18</v>
      </c>
      <c r="Z394" s="295">
        <v>15</v>
      </c>
      <c r="AA394" s="295">
        <v>70</v>
      </c>
      <c r="AB394" s="295">
        <v>70</v>
      </c>
      <c r="AC394" s="295">
        <v>0</v>
      </c>
      <c r="AD394" s="295">
        <v>0</v>
      </c>
      <c r="AE394" s="295">
        <v>0</v>
      </c>
      <c r="AF394" s="295">
        <v>0</v>
      </c>
      <c r="AG394" s="295">
        <v>0</v>
      </c>
      <c r="AH394" s="295">
        <v>1757.5</v>
      </c>
      <c r="AI394" s="362"/>
    </row>
    <row r="395" spans="1:35">
      <c r="A395" s="291">
        <v>31615</v>
      </c>
      <c r="B395" s="291">
        <v>42894</v>
      </c>
      <c r="C395" s="292" t="s">
        <v>1474</v>
      </c>
      <c r="D395" s="293" t="s">
        <v>147</v>
      </c>
      <c r="E395" s="293" t="str">
        <f t="shared" si="6"/>
        <v>Q</v>
      </c>
      <c r="F395" s="293" t="s">
        <v>126</v>
      </c>
      <c r="G395" s="294">
        <v>1076</v>
      </c>
      <c r="H395" s="292" t="s">
        <v>97</v>
      </c>
      <c r="I395" s="292" t="s">
        <v>1475</v>
      </c>
      <c r="J395" s="293" t="s">
        <v>420</v>
      </c>
      <c r="K395" s="293"/>
      <c r="L395" s="293" t="s">
        <v>1462</v>
      </c>
      <c r="M395" s="293" t="s">
        <v>2029</v>
      </c>
      <c r="N395" s="295">
        <v>1644</v>
      </c>
      <c r="O395" s="296" t="s">
        <v>673</v>
      </c>
      <c r="P395" s="295">
        <v>0</v>
      </c>
      <c r="Q395" s="295">
        <v>0</v>
      </c>
      <c r="R395" s="295">
        <v>0</v>
      </c>
      <c r="S395" s="295">
        <v>1674</v>
      </c>
      <c r="T395" s="295">
        <v>1674</v>
      </c>
      <c r="U395" s="295">
        <v>30</v>
      </c>
      <c r="V395" s="295">
        <v>10</v>
      </c>
      <c r="W395" s="295">
        <v>5.5</v>
      </c>
      <c r="X395" s="295">
        <v>5</v>
      </c>
      <c r="Y395" s="295">
        <v>18</v>
      </c>
      <c r="Z395" s="295">
        <v>30</v>
      </c>
      <c r="AA395" s="295">
        <v>70</v>
      </c>
      <c r="AB395" s="295">
        <v>0</v>
      </c>
      <c r="AC395" s="295">
        <v>0</v>
      </c>
      <c r="AD395" s="295">
        <v>0</v>
      </c>
      <c r="AE395" s="295">
        <v>0</v>
      </c>
      <c r="AF395" s="295">
        <v>0</v>
      </c>
      <c r="AG395" s="295">
        <v>0</v>
      </c>
      <c r="AH395" s="295">
        <v>1842.5</v>
      </c>
      <c r="AI395" s="362"/>
    </row>
    <row r="396" spans="1:35" ht="25.5">
      <c r="A396" s="291">
        <v>11367</v>
      </c>
      <c r="B396" s="291">
        <v>42651</v>
      </c>
      <c r="C396" s="292" t="s">
        <v>1476</v>
      </c>
      <c r="D396" s="293" t="s">
        <v>147</v>
      </c>
      <c r="E396" s="293" t="str">
        <f t="shared" si="6"/>
        <v>Q</v>
      </c>
      <c r="F396" s="293" t="s">
        <v>126</v>
      </c>
      <c r="G396" s="294">
        <v>1076</v>
      </c>
      <c r="H396" s="292" t="s">
        <v>97</v>
      </c>
      <c r="I396" s="292" t="s">
        <v>1477</v>
      </c>
      <c r="J396" s="293" t="s">
        <v>890</v>
      </c>
      <c r="K396" s="293"/>
      <c r="L396" s="293" t="s">
        <v>891</v>
      </c>
      <c r="M396" s="293" t="s">
        <v>885</v>
      </c>
      <c r="N396" s="295">
        <v>1644</v>
      </c>
      <c r="O396" s="296" t="s">
        <v>673</v>
      </c>
      <c r="P396" s="295">
        <v>0</v>
      </c>
      <c r="Q396" s="295">
        <v>0</v>
      </c>
      <c r="R396" s="295">
        <v>-1749.1</v>
      </c>
      <c r="S396" s="295">
        <v>1614</v>
      </c>
      <c r="T396" s="295">
        <v>1614</v>
      </c>
      <c r="U396" s="295">
        <v>30</v>
      </c>
      <c r="V396" s="295">
        <v>10</v>
      </c>
      <c r="W396" s="295">
        <v>5.5</v>
      </c>
      <c r="X396" s="295">
        <v>5</v>
      </c>
      <c r="Y396" s="295">
        <v>0</v>
      </c>
      <c r="Z396" s="295">
        <v>30</v>
      </c>
      <c r="AA396" s="295">
        <v>0</v>
      </c>
      <c r="AB396" s="295">
        <v>0</v>
      </c>
      <c r="AC396" s="295">
        <v>0</v>
      </c>
      <c r="AD396" s="295">
        <v>0</v>
      </c>
      <c r="AE396" s="295">
        <v>0</v>
      </c>
      <c r="AF396" s="295">
        <v>0</v>
      </c>
      <c r="AG396" s="295">
        <v>0</v>
      </c>
      <c r="AH396" s="295">
        <v>1694.5</v>
      </c>
      <c r="AI396" s="362"/>
    </row>
    <row r="397" spans="1:35">
      <c r="A397" s="291">
        <v>31879</v>
      </c>
      <c r="B397" s="291">
        <v>42706</v>
      </c>
      <c r="C397" s="292" t="s">
        <v>1478</v>
      </c>
      <c r="D397" s="293" t="s">
        <v>163</v>
      </c>
      <c r="E397" s="293" t="str">
        <f t="shared" si="6"/>
        <v>F</v>
      </c>
      <c r="F397" s="293" t="s">
        <v>126</v>
      </c>
      <c r="G397" s="294">
        <v>1010</v>
      </c>
      <c r="H397" s="292" t="s">
        <v>97</v>
      </c>
      <c r="I397" s="292" t="s">
        <v>1479</v>
      </c>
      <c r="J397" s="293" t="s">
        <v>774</v>
      </c>
      <c r="K397" s="293"/>
      <c r="L397" s="293" t="s">
        <v>774</v>
      </c>
      <c r="M397" s="293" t="s">
        <v>523</v>
      </c>
      <c r="N397" s="295">
        <v>1444</v>
      </c>
      <c r="O397" s="296" t="s">
        <v>673</v>
      </c>
      <c r="P397" s="295">
        <v>0</v>
      </c>
      <c r="Q397" s="295">
        <v>0</v>
      </c>
      <c r="R397" s="295">
        <v>0</v>
      </c>
      <c r="S397" s="295">
        <v>1474</v>
      </c>
      <c r="T397" s="295">
        <v>1474</v>
      </c>
      <c r="U397" s="295">
        <v>30</v>
      </c>
      <c r="V397" s="295">
        <v>10</v>
      </c>
      <c r="W397" s="295">
        <v>5.5</v>
      </c>
      <c r="X397" s="295">
        <v>5</v>
      </c>
      <c r="Y397" s="295">
        <v>18</v>
      </c>
      <c r="Z397" s="295">
        <v>15</v>
      </c>
      <c r="AA397" s="295">
        <v>70</v>
      </c>
      <c r="AB397" s="295">
        <v>0</v>
      </c>
      <c r="AC397" s="295">
        <v>0</v>
      </c>
      <c r="AD397" s="295">
        <v>0</v>
      </c>
      <c r="AE397" s="295">
        <v>0</v>
      </c>
      <c r="AF397" s="295">
        <v>0</v>
      </c>
      <c r="AG397" s="295">
        <v>0</v>
      </c>
      <c r="AH397" s="295">
        <v>1627.5</v>
      </c>
      <c r="AI397" s="362"/>
    </row>
    <row r="398" spans="1:35">
      <c r="A398" s="291">
        <v>31695</v>
      </c>
      <c r="B398" s="291">
        <v>43053</v>
      </c>
      <c r="C398" s="292" t="s">
        <v>1480</v>
      </c>
      <c r="D398" s="293" t="s">
        <v>279</v>
      </c>
      <c r="E398" s="293" t="str">
        <f t="shared" si="6"/>
        <v>G</v>
      </c>
      <c r="F398" s="293" t="s">
        <v>126</v>
      </c>
      <c r="G398" s="294">
        <v>600</v>
      </c>
      <c r="H398" s="292" t="s">
        <v>97</v>
      </c>
      <c r="I398" s="292" t="s">
        <v>1481</v>
      </c>
      <c r="J398" s="293" t="s">
        <v>437</v>
      </c>
      <c r="K398" s="293"/>
      <c r="L398" s="293" t="s">
        <v>1812</v>
      </c>
      <c r="M398" s="293" t="s">
        <v>1952</v>
      </c>
      <c r="N398" s="295">
        <v>1254</v>
      </c>
      <c r="O398" s="296" t="s">
        <v>673</v>
      </c>
      <c r="P398" s="295">
        <v>0</v>
      </c>
      <c r="Q398" s="295">
        <v>0</v>
      </c>
      <c r="R398" s="295">
        <v>1924.83</v>
      </c>
      <c r="S398" s="295">
        <v>1249</v>
      </c>
      <c r="T398" s="295">
        <v>1249</v>
      </c>
      <c r="U398" s="295">
        <v>30</v>
      </c>
      <c r="V398" s="295">
        <v>10</v>
      </c>
      <c r="W398" s="295">
        <v>5.5</v>
      </c>
      <c r="X398" s="295">
        <v>5</v>
      </c>
      <c r="Y398" s="295">
        <v>18</v>
      </c>
      <c r="Z398" s="295">
        <v>0</v>
      </c>
      <c r="AA398" s="295">
        <v>70</v>
      </c>
      <c r="AB398" s="295">
        <v>0</v>
      </c>
      <c r="AC398" s="295">
        <v>0</v>
      </c>
      <c r="AD398" s="295">
        <v>0</v>
      </c>
      <c r="AE398" s="295">
        <v>0</v>
      </c>
      <c r="AF398" s="295">
        <v>0</v>
      </c>
      <c r="AG398" s="295">
        <v>0</v>
      </c>
      <c r="AH398" s="295">
        <v>1387.5</v>
      </c>
      <c r="AI398" s="362"/>
    </row>
    <row r="399" spans="1:35">
      <c r="A399" s="291">
        <v>21450</v>
      </c>
      <c r="B399" s="291">
        <v>42714</v>
      </c>
      <c r="C399" s="292" t="s">
        <v>1482</v>
      </c>
      <c r="D399" s="293" t="s">
        <v>129</v>
      </c>
      <c r="E399" s="293" t="str">
        <f t="shared" si="6"/>
        <v>F</v>
      </c>
      <c r="F399" s="293" t="s">
        <v>126</v>
      </c>
      <c r="G399" s="294">
        <v>600</v>
      </c>
      <c r="H399" s="292" t="s">
        <v>97</v>
      </c>
      <c r="I399" s="292" t="s">
        <v>1483</v>
      </c>
      <c r="J399" s="293" t="s">
        <v>773</v>
      </c>
      <c r="K399" s="293"/>
      <c r="L399" s="293" t="s">
        <v>471</v>
      </c>
      <c r="M399" s="293" t="s">
        <v>505</v>
      </c>
      <c r="N399" s="295">
        <v>1184</v>
      </c>
      <c r="O399" s="296" t="s">
        <v>673</v>
      </c>
      <c r="P399" s="295">
        <v>0</v>
      </c>
      <c r="Q399" s="295">
        <v>0</v>
      </c>
      <c r="R399" s="295">
        <v>0</v>
      </c>
      <c r="S399" s="295">
        <v>1244</v>
      </c>
      <c r="T399" s="295">
        <v>1244</v>
      </c>
      <c r="U399" s="295">
        <v>30</v>
      </c>
      <c r="V399" s="295">
        <v>10</v>
      </c>
      <c r="W399" s="295">
        <v>5.5</v>
      </c>
      <c r="X399" s="295">
        <v>5</v>
      </c>
      <c r="Y399" s="295">
        <v>18</v>
      </c>
      <c r="Z399" s="295">
        <v>0</v>
      </c>
      <c r="AA399" s="295">
        <v>0</v>
      </c>
      <c r="AB399" s="295">
        <v>0</v>
      </c>
      <c r="AC399" s="295">
        <v>0</v>
      </c>
      <c r="AD399" s="295">
        <v>0</v>
      </c>
      <c r="AE399" s="295">
        <v>0</v>
      </c>
      <c r="AF399" s="295">
        <v>0</v>
      </c>
      <c r="AG399" s="295">
        <v>0</v>
      </c>
      <c r="AH399" s="295">
        <v>1312.5</v>
      </c>
      <c r="AI399" s="362"/>
    </row>
    <row r="400" spans="1:35">
      <c r="A400" s="291">
        <v>11354</v>
      </c>
      <c r="B400" s="291">
        <v>42814</v>
      </c>
      <c r="C400" s="292" t="s">
        <v>1484</v>
      </c>
      <c r="D400" s="293" t="s">
        <v>139</v>
      </c>
      <c r="E400" s="293" t="str">
        <f t="shared" si="6"/>
        <v>Q</v>
      </c>
      <c r="F400" s="293" t="s">
        <v>126</v>
      </c>
      <c r="G400" s="294">
        <v>600</v>
      </c>
      <c r="H400" s="292" t="s">
        <v>97</v>
      </c>
      <c r="I400" s="292" t="s">
        <v>1485</v>
      </c>
      <c r="J400" s="293" t="s">
        <v>1349</v>
      </c>
      <c r="K400" s="293"/>
      <c r="L400" s="293" t="s">
        <v>1890</v>
      </c>
      <c r="M400" s="293" t="s">
        <v>1891</v>
      </c>
      <c r="N400" s="295">
        <v>1294</v>
      </c>
      <c r="O400" s="296" t="s">
        <v>673</v>
      </c>
      <c r="P400" s="295">
        <v>0</v>
      </c>
      <c r="Q400" s="295">
        <v>0</v>
      </c>
      <c r="R400" s="295">
        <v>0</v>
      </c>
      <c r="S400" s="295">
        <v>1279</v>
      </c>
      <c r="T400" s="295">
        <v>1279</v>
      </c>
      <c r="U400" s="295">
        <v>30</v>
      </c>
      <c r="V400" s="295">
        <v>10</v>
      </c>
      <c r="W400" s="295">
        <v>5.5</v>
      </c>
      <c r="X400" s="295">
        <v>5</v>
      </c>
      <c r="Y400" s="295">
        <v>0</v>
      </c>
      <c r="Z400" s="295">
        <v>15</v>
      </c>
      <c r="AA400" s="295">
        <v>0</v>
      </c>
      <c r="AB400" s="295">
        <v>0</v>
      </c>
      <c r="AC400" s="295">
        <v>0</v>
      </c>
      <c r="AD400" s="295">
        <v>0</v>
      </c>
      <c r="AE400" s="295">
        <v>0</v>
      </c>
      <c r="AF400" s="295">
        <v>0</v>
      </c>
      <c r="AG400" s="295">
        <v>0</v>
      </c>
      <c r="AH400" s="295">
        <v>1344.5</v>
      </c>
      <c r="AI400" s="362"/>
    </row>
    <row r="401" spans="1:35">
      <c r="A401" s="291">
        <v>31970</v>
      </c>
      <c r="B401" s="291">
        <v>42898</v>
      </c>
      <c r="C401" s="292" t="s">
        <v>1487</v>
      </c>
      <c r="D401" s="293" t="s">
        <v>139</v>
      </c>
      <c r="E401" s="293" t="str">
        <f t="shared" si="6"/>
        <v>Q</v>
      </c>
      <c r="F401" s="293" t="s">
        <v>126</v>
      </c>
      <c r="G401" s="294">
        <v>600</v>
      </c>
      <c r="H401" s="292" t="s">
        <v>97</v>
      </c>
      <c r="I401" s="292" t="s">
        <v>1892</v>
      </c>
      <c r="J401" s="293" t="s">
        <v>512</v>
      </c>
      <c r="K401" s="293"/>
      <c r="L401" s="293" t="s">
        <v>512</v>
      </c>
      <c r="M401" s="293" t="s">
        <v>1893</v>
      </c>
      <c r="N401" s="295">
        <v>1294</v>
      </c>
      <c r="O401" s="296" t="s">
        <v>673</v>
      </c>
      <c r="P401" s="295">
        <v>0</v>
      </c>
      <c r="Q401" s="295">
        <v>0</v>
      </c>
      <c r="R401" s="295">
        <v>-661.36</v>
      </c>
      <c r="S401" s="295">
        <v>1164</v>
      </c>
      <c r="T401" s="295">
        <v>1164</v>
      </c>
      <c r="U401" s="295">
        <v>30</v>
      </c>
      <c r="V401" s="295">
        <v>10</v>
      </c>
      <c r="W401" s="295">
        <v>5.5</v>
      </c>
      <c r="X401" s="295">
        <v>5</v>
      </c>
      <c r="Y401" s="295">
        <v>18</v>
      </c>
      <c r="Z401" s="295">
        <v>30</v>
      </c>
      <c r="AA401" s="295">
        <v>70</v>
      </c>
      <c r="AB401" s="295">
        <v>0</v>
      </c>
      <c r="AC401" s="295">
        <v>0</v>
      </c>
      <c r="AD401" s="295">
        <v>0</v>
      </c>
      <c r="AE401" s="295">
        <v>0</v>
      </c>
      <c r="AF401" s="295">
        <v>0</v>
      </c>
      <c r="AG401" s="295">
        <v>0</v>
      </c>
      <c r="AH401" s="295">
        <v>1332.5</v>
      </c>
      <c r="AI401" s="362"/>
    </row>
    <row r="402" spans="1:35">
      <c r="A402" s="291">
        <v>32084</v>
      </c>
      <c r="B402" s="291">
        <v>43116</v>
      </c>
      <c r="C402" s="292" t="s">
        <v>1488</v>
      </c>
      <c r="D402" s="293" t="s">
        <v>139</v>
      </c>
      <c r="E402" s="293" t="str">
        <f t="shared" si="6"/>
        <v>Q</v>
      </c>
      <c r="F402" s="293" t="s">
        <v>126</v>
      </c>
      <c r="G402" s="294">
        <v>600</v>
      </c>
      <c r="H402" s="292" t="s">
        <v>97</v>
      </c>
      <c r="I402" s="292" t="s">
        <v>2030</v>
      </c>
      <c r="J402" s="293" t="s">
        <v>1938</v>
      </c>
      <c r="K402" s="293"/>
      <c r="L402" s="293" t="s">
        <v>1938</v>
      </c>
      <c r="M402" s="293" t="s">
        <v>1943</v>
      </c>
      <c r="N402" s="295">
        <v>1294</v>
      </c>
      <c r="O402" s="296" t="s">
        <v>673</v>
      </c>
      <c r="P402" s="295">
        <v>0</v>
      </c>
      <c r="Q402" s="295">
        <v>0</v>
      </c>
      <c r="R402" s="295">
        <v>0</v>
      </c>
      <c r="S402" s="295">
        <v>1224</v>
      </c>
      <c r="T402" s="295">
        <v>1224</v>
      </c>
      <c r="U402" s="295">
        <v>30</v>
      </c>
      <c r="V402" s="295">
        <v>10</v>
      </c>
      <c r="W402" s="295">
        <v>5.5</v>
      </c>
      <c r="X402" s="295">
        <v>5</v>
      </c>
      <c r="Y402" s="295">
        <v>18</v>
      </c>
      <c r="Z402" s="295">
        <v>15</v>
      </c>
      <c r="AA402" s="295">
        <v>70</v>
      </c>
      <c r="AB402" s="295">
        <v>0</v>
      </c>
      <c r="AC402" s="295">
        <v>0</v>
      </c>
      <c r="AD402" s="295">
        <v>0</v>
      </c>
      <c r="AE402" s="295">
        <v>0</v>
      </c>
      <c r="AF402" s="295">
        <v>0</v>
      </c>
      <c r="AG402" s="295">
        <v>0</v>
      </c>
      <c r="AH402" s="295">
        <v>1377.5</v>
      </c>
      <c r="AI402" s="362"/>
    </row>
    <row r="403" spans="1:35">
      <c r="A403" s="291">
        <v>31936</v>
      </c>
      <c r="B403" s="291">
        <v>42836</v>
      </c>
      <c r="C403" s="292" t="s">
        <v>1490</v>
      </c>
      <c r="D403" s="293" t="s">
        <v>139</v>
      </c>
      <c r="E403" s="293" t="str">
        <f t="shared" si="6"/>
        <v>Q</v>
      </c>
      <c r="F403" s="293" t="s">
        <v>126</v>
      </c>
      <c r="G403" s="294">
        <v>600</v>
      </c>
      <c r="H403" s="292" t="s">
        <v>97</v>
      </c>
      <c r="I403" s="292" t="s">
        <v>1894</v>
      </c>
      <c r="J403" s="293" t="s">
        <v>389</v>
      </c>
      <c r="K403" s="293"/>
      <c r="L403" s="293" t="s">
        <v>389</v>
      </c>
      <c r="M403" s="293" t="s">
        <v>1871</v>
      </c>
      <c r="N403" s="295">
        <v>1294</v>
      </c>
      <c r="O403" s="296" t="s">
        <v>673</v>
      </c>
      <c r="P403" s="295">
        <v>0</v>
      </c>
      <c r="Q403" s="295">
        <v>0</v>
      </c>
      <c r="R403" s="295">
        <v>0</v>
      </c>
      <c r="S403" s="295">
        <v>1254</v>
      </c>
      <c r="T403" s="295">
        <v>1254</v>
      </c>
      <c r="U403" s="295">
        <v>30</v>
      </c>
      <c r="V403" s="295">
        <v>10</v>
      </c>
      <c r="W403" s="295">
        <v>5.5</v>
      </c>
      <c r="X403" s="295">
        <v>5</v>
      </c>
      <c r="Y403" s="295">
        <v>18</v>
      </c>
      <c r="Z403" s="295">
        <v>0</v>
      </c>
      <c r="AA403" s="295">
        <v>70</v>
      </c>
      <c r="AB403" s="295">
        <v>0</v>
      </c>
      <c r="AC403" s="295">
        <v>0</v>
      </c>
      <c r="AD403" s="295">
        <v>0</v>
      </c>
      <c r="AE403" s="295">
        <v>0</v>
      </c>
      <c r="AF403" s="295">
        <v>0</v>
      </c>
      <c r="AG403" s="295">
        <v>0</v>
      </c>
      <c r="AH403" s="295">
        <v>1392.5</v>
      </c>
      <c r="AI403" s="362"/>
    </row>
    <row r="404" spans="1:35">
      <c r="A404" s="291">
        <v>31670</v>
      </c>
      <c r="B404" s="291">
        <v>42960</v>
      </c>
      <c r="C404" s="292" t="s">
        <v>1491</v>
      </c>
      <c r="D404" s="293" t="s">
        <v>129</v>
      </c>
      <c r="E404" s="293" t="str">
        <f t="shared" si="6"/>
        <v>F</v>
      </c>
      <c r="F404" s="293" t="s">
        <v>126</v>
      </c>
      <c r="G404" s="294">
        <v>600</v>
      </c>
      <c r="H404" s="292" t="s">
        <v>97</v>
      </c>
      <c r="I404" s="292" t="s">
        <v>1492</v>
      </c>
      <c r="J404" s="293" t="s">
        <v>427</v>
      </c>
      <c r="K404" s="293"/>
      <c r="L404" s="293" t="s">
        <v>1555</v>
      </c>
      <c r="M404" s="293" t="s">
        <v>1835</v>
      </c>
      <c r="N404" s="295">
        <v>1184</v>
      </c>
      <c r="O404" s="296" t="s">
        <v>673</v>
      </c>
      <c r="P404" s="295">
        <v>0</v>
      </c>
      <c r="Q404" s="295">
        <v>0</v>
      </c>
      <c r="R404" s="295">
        <v>0</v>
      </c>
      <c r="S404" s="295">
        <v>1149</v>
      </c>
      <c r="T404" s="295">
        <v>1149</v>
      </c>
      <c r="U404" s="295">
        <v>30</v>
      </c>
      <c r="V404" s="295">
        <v>10</v>
      </c>
      <c r="W404" s="295">
        <v>5.5</v>
      </c>
      <c r="X404" s="295">
        <v>5</v>
      </c>
      <c r="Y404" s="295">
        <v>18</v>
      </c>
      <c r="Z404" s="295">
        <v>0</v>
      </c>
      <c r="AA404" s="295">
        <v>70</v>
      </c>
      <c r="AB404" s="295">
        <v>0</v>
      </c>
      <c r="AC404" s="295">
        <v>0</v>
      </c>
      <c r="AD404" s="295">
        <v>0</v>
      </c>
      <c r="AE404" s="295">
        <v>0</v>
      </c>
      <c r="AF404" s="295">
        <v>0</v>
      </c>
      <c r="AG404" s="295">
        <v>0</v>
      </c>
      <c r="AH404" s="295">
        <v>1287.5</v>
      </c>
      <c r="AI404" s="362"/>
    </row>
    <row r="405" spans="1:35">
      <c r="A405" s="291">
        <v>31942</v>
      </c>
      <c r="B405" s="291">
        <v>42845</v>
      </c>
      <c r="C405" s="292" t="s">
        <v>1493</v>
      </c>
      <c r="D405" s="293" t="s">
        <v>129</v>
      </c>
      <c r="E405" s="293" t="str">
        <f t="shared" si="6"/>
        <v>F</v>
      </c>
      <c r="F405" s="293" t="s">
        <v>126</v>
      </c>
      <c r="G405" s="294">
        <v>600</v>
      </c>
      <c r="H405" s="292" t="s">
        <v>97</v>
      </c>
      <c r="I405" s="292" t="s">
        <v>1895</v>
      </c>
      <c r="J405" s="293" t="s">
        <v>429</v>
      </c>
      <c r="K405" s="293"/>
      <c r="L405" s="293" t="s">
        <v>429</v>
      </c>
      <c r="M405" s="293" t="s">
        <v>1852</v>
      </c>
      <c r="N405" s="295">
        <v>1184</v>
      </c>
      <c r="O405" s="296" t="s">
        <v>673</v>
      </c>
      <c r="P405" s="295">
        <v>0</v>
      </c>
      <c r="Q405" s="295">
        <v>0</v>
      </c>
      <c r="R405" s="295">
        <v>0</v>
      </c>
      <c r="S405" s="295">
        <v>1214</v>
      </c>
      <c r="T405" s="295">
        <v>1214</v>
      </c>
      <c r="U405" s="295">
        <v>30</v>
      </c>
      <c r="V405" s="295">
        <v>10</v>
      </c>
      <c r="W405" s="295">
        <v>5.5</v>
      </c>
      <c r="X405" s="295">
        <v>5</v>
      </c>
      <c r="Y405" s="295">
        <v>18</v>
      </c>
      <c r="Z405" s="295">
        <v>0</v>
      </c>
      <c r="AA405" s="295">
        <v>70</v>
      </c>
      <c r="AB405" s="295">
        <v>0</v>
      </c>
      <c r="AC405" s="295">
        <v>0</v>
      </c>
      <c r="AD405" s="295">
        <v>0</v>
      </c>
      <c r="AE405" s="295">
        <v>0</v>
      </c>
      <c r="AF405" s="295">
        <v>0</v>
      </c>
      <c r="AG405" s="295">
        <v>0</v>
      </c>
      <c r="AH405" s="295">
        <v>1352.5</v>
      </c>
      <c r="AI405" s="362"/>
    </row>
    <row r="406" spans="1:35">
      <c r="A406" s="291">
        <v>31481</v>
      </c>
      <c r="B406" s="291">
        <v>42720</v>
      </c>
      <c r="C406" s="292" t="s">
        <v>1494</v>
      </c>
      <c r="D406" s="293" t="s">
        <v>160</v>
      </c>
      <c r="E406" s="293" t="str">
        <f t="shared" si="6"/>
        <v>Q</v>
      </c>
      <c r="F406" s="293" t="s">
        <v>126</v>
      </c>
      <c r="G406" s="294">
        <v>1010</v>
      </c>
      <c r="H406" s="292" t="s">
        <v>97</v>
      </c>
      <c r="I406" s="292" t="s">
        <v>1495</v>
      </c>
      <c r="J406" s="293" t="s">
        <v>915</v>
      </c>
      <c r="K406" s="293"/>
      <c r="L406" s="293" t="s">
        <v>1302</v>
      </c>
      <c r="M406" s="293" t="s">
        <v>1496</v>
      </c>
      <c r="N406" s="295">
        <v>1564</v>
      </c>
      <c r="O406" s="296" t="s">
        <v>673</v>
      </c>
      <c r="P406" s="295">
        <v>0</v>
      </c>
      <c r="Q406" s="295">
        <v>0</v>
      </c>
      <c r="R406" s="295">
        <v>-1740.86</v>
      </c>
      <c r="S406" s="295">
        <v>1604</v>
      </c>
      <c r="T406" s="295">
        <v>1604</v>
      </c>
      <c r="U406" s="295">
        <v>30</v>
      </c>
      <c r="V406" s="295">
        <v>10</v>
      </c>
      <c r="W406" s="295">
        <v>5.5</v>
      </c>
      <c r="X406" s="295">
        <v>5</v>
      </c>
      <c r="Y406" s="295">
        <v>18</v>
      </c>
      <c r="Z406" s="295">
        <v>15</v>
      </c>
      <c r="AA406" s="295">
        <v>0</v>
      </c>
      <c r="AB406" s="295">
        <v>0</v>
      </c>
      <c r="AC406" s="295">
        <v>0</v>
      </c>
      <c r="AD406" s="295">
        <v>0</v>
      </c>
      <c r="AE406" s="295">
        <v>0</v>
      </c>
      <c r="AF406" s="295">
        <v>0</v>
      </c>
      <c r="AG406" s="295">
        <v>0</v>
      </c>
      <c r="AH406" s="295">
        <v>1687.5</v>
      </c>
      <c r="AI406" s="362"/>
    </row>
    <row r="407" spans="1:35">
      <c r="A407" s="291">
        <v>11064</v>
      </c>
      <c r="B407" s="291">
        <v>42661</v>
      </c>
      <c r="C407" s="292" t="s">
        <v>1497</v>
      </c>
      <c r="D407" s="293" t="s">
        <v>872</v>
      </c>
      <c r="E407" s="293" t="str">
        <f t="shared" si="6"/>
        <v>G</v>
      </c>
      <c r="F407" s="293" t="s">
        <v>126</v>
      </c>
      <c r="G407" s="294">
        <v>1010</v>
      </c>
      <c r="H407" s="292" t="s">
        <v>142</v>
      </c>
      <c r="I407" s="292" t="s">
        <v>1498</v>
      </c>
      <c r="J407" s="293" t="s">
        <v>1499</v>
      </c>
      <c r="K407" s="293" t="s">
        <v>507</v>
      </c>
      <c r="L407" s="293" t="s">
        <v>377</v>
      </c>
      <c r="M407" s="293" t="s">
        <v>507</v>
      </c>
      <c r="N407" s="295">
        <v>1514</v>
      </c>
      <c r="O407" s="296" t="s">
        <v>673</v>
      </c>
      <c r="P407" s="295">
        <v>0</v>
      </c>
      <c r="Q407" s="295">
        <v>0</v>
      </c>
      <c r="R407" s="295">
        <v>0</v>
      </c>
      <c r="S407" s="295">
        <v>1565</v>
      </c>
      <c r="T407" s="295">
        <v>1565</v>
      </c>
      <c r="U407" s="295">
        <v>30</v>
      </c>
      <c r="V407" s="295">
        <v>10</v>
      </c>
      <c r="W407" s="295">
        <v>5.5</v>
      </c>
      <c r="X407" s="295">
        <v>5</v>
      </c>
      <c r="Y407" s="295">
        <v>0</v>
      </c>
      <c r="Z407" s="295">
        <v>15</v>
      </c>
      <c r="AA407" s="295">
        <v>0</v>
      </c>
      <c r="AB407" s="295">
        <v>0</v>
      </c>
      <c r="AC407" s="295">
        <v>0</v>
      </c>
      <c r="AD407" s="295">
        <v>0</v>
      </c>
      <c r="AE407" s="295">
        <v>0</v>
      </c>
      <c r="AF407" s="295">
        <v>0</v>
      </c>
      <c r="AG407" s="295">
        <v>0</v>
      </c>
      <c r="AH407" s="295">
        <v>1630.5</v>
      </c>
      <c r="AI407" s="362"/>
    </row>
    <row r="408" spans="1:35">
      <c r="A408" s="291">
        <v>10917</v>
      </c>
      <c r="B408" s="291">
        <v>43064</v>
      </c>
      <c r="C408" s="292" t="s">
        <v>1500</v>
      </c>
      <c r="D408" s="293" t="s">
        <v>872</v>
      </c>
      <c r="E408" s="293" t="str">
        <f t="shared" si="6"/>
        <v>G</v>
      </c>
      <c r="F408" s="293" t="s">
        <v>126</v>
      </c>
      <c r="G408" s="294">
        <v>1010</v>
      </c>
      <c r="H408" s="292" t="s">
        <v>97</v>
      </c>
      <c r="I408" s="292" t="s">
        <v>1501</v>
      </c>
      <c r="J408" s="293" t="s">
        <v>1502</v>
      </c>
      <c r="K408" s="293"/>
      <c r="L408" s="293" t="s">
        <v>482</v>
      </c>
      <c r="M408" s="293" t="s">
        <v>2120</v>
      </c>
      <c r="N408" s="295">
        <v>1514</v>
      </c>
      <c r="O408" s="296" t="s">
        <v>673</v>
      </c>
      <c r="P408" s="295">
        <v>0</v>
      </c>
      <c r="Q408" s="295">
        <v>0</v>
      </c>
      <c r="R408" s="295">
        <v>-10.76</v>
      </c>
      <c r="S408" s="295">
        <v>1525</v>
      </c>
      <c r="T408" s="295">
        <v>1525</v>
      </c>
      <c r="U408" s="295">
        <v>30</v>
      </c>
      <c r="V408" s="295">
        <v>10</v>
      </c>
      <c r="W408" s="295">
        <v>5.5</v>
      </c>
      <c r="X408" s="295">
        <v>5</v>
      </c>
      <c r="Y408" s="295">
        <v>18</v>
      </c>
      <c r="Z408" s="295">
        <v>15</v>
      </c>
      <c r="AA408" s="295">
        <v>70</v>
      </c>
      <c r="AB408" s="295">
        <v>0</v>
      </c>
      <c r="AC408" s="295">
        <v>0</v>
      </c>
      <c r="AD408" s="295">
        <v>0</v>
      </c>
      <c r="AE408" s="295">
        <v>0</v>
      </c>
      <c r="AF408" s="295">
        <v>0</v>
      </c>
      <c r="AG408" s="295">
        <v>0</v>
      </c>
      <c r="AH408" s="295">
        <v>1678.5</v>
      </c>
      <c r="AI408" s="362"/>
    </row>
    <row r="409" spans="1:35">
      <c r="A409" s="291">
        <v>11157</v>
      </c>
      <c r="B409" s="291">
        <v>43008</v>
      </c>
      <c r="C409" s="292" t="s">
        <v>1503</v>
      </c>
      <c r="D409" s="293" t="s">
        <v>872</v>
      </c>
      <c r="E409" s="293" t="str">
        <f t="shared" si="6"/>
        <v>G</v>
      </c>
      <c r="F409" s="293" t="s">
        <v>126</v>
      </c>
      <c r="G409" s="294">
        <v>1010</v>
      </c>
      <c r="H409" s="292" t="s">
        <v>97</v>
      </c>
      <c r="I409" s="292" t="s">
        <v>1472</v>
      </c>
      <c r="J409" s="293" t="s">
        <v>411</v>
      </c>
      <c r="K409" s="293"/>
      <c r="L409" s="293" t="s">
        <v>411</v>
      </c>
      <c r="M409" s="293" t="s">
        <v>1882</v>
      </c>
      <c r="N409" s="295">
        <v>1514</v>
      </c>
      <c r="O409" s="296" t="s">
        <v>673</v>
      </c>
      <c r="P409" s="295">
        <v>0</v>
      </c>
      <c r="Q409" s="295">
        <v>0</v>
      </c>
      <c r="R409" s="295">
        <v>39.6</v>
      </c>
      <c r="S409" s="295">
        <v>1584</v>
      </c>
      <c r="T409" s="295">
        <v>1584</v>
      </c>
      <c r="U409" s="295">
        <v>30</v>
      </c>
      <c r="V409" s="295">
        <v>10</v>
      </c>
      <c r="W409" s="295">
        <v>5.5</v>
      </c>
      <c r="X409" s="295">
        <v>5</v>
      </c>
      <c r="Y409" s="295">
        <v>18</v>
      </c>
      <c r="Z409" s="295">
        <v>15</v>
      </c>
      <c r="AA409" s="295">
        <v>70</v>
      </c>
      <c r="AB409" s="295">
        <v>0</v>
      </c>
      <c r="AC409" s="295">
        <v>0</v>
      </c>
      <c r="AD409" s="295">
        <v>0</v>
      </c>
      <c r="AE409" s="295">
        <v>0</v>
      </c>
      <c r="AF409" s="295">
        <v>0</v>
      </c>
      <c r="AG409" s="295">
        <v>0</v>
      </c>
      <c r="AH409" s="295">
        <v>1737.5</v>
      </c>
      <c r="AI409" s="362"/>
    </row>
    <row r="410" spans="1:35">
      <c r="A410" s="291">
        <v>31873</v>
      </c>
      <c r="B410" s="291">
        <v>42699</v>
      </c>
      <c r="C410" s="292" t="s">
        <v>1505</v>
      </c>
      <c r="D410" s="293" t="s">
        <v>180</v>
      </c>
      <c r="E410" s="293" t="str">
        <f t="shared" si="6"/>
        <v>Q</v>
      </c>
      <c r="F410" s="293" t="s">
        <v>126</v>
      </c>
      <c r="G410" s="294">
        <v>825</v>
      </c>
      <c r="H410" s="292" t="s">
        <v>97</v>
      </c>
      <c r="I410" s="292" t="s">
        <v>1506</v>
      </c>
      <c r="J410" s="293" t="s">
        <v>529</v>
      </c>
      <c r="K410" s="293"/>
      <c r="L410" s="293" t="s">
        <v>529</v>
      </c>
      <c r="M410" s="293" t="s">
        <v>501</v>
      </c>
      <c r="N410" s="295">
        <v>1404</v>
      </c>
      <c r="O410" s="296" t="s">
        <v>673</v>
      </c>
      <c r="P410" s="295">
        <v>0</v>
      </c>
      <c r="Q410" s="295">
        <v>0</v>
      </c>
      <c r="R410" s="295">
        <v>0</v>
      </c>
      <c r="S410" s="295">
        <v>1434</v>
      </c>
      <c r="T410" s="295">
        <v>1434</v>
      </c>
      <c r="U410" s="295">
        <v>30</v>
      </c>
      <c r="V410" s="295">
        <v>10</v>
      </c>
      <c r="W410" s="295">
        <v>5.5</v>
      </c>
      <c r="X410" s="295">
        <v>5</v>
      </c>
      <c r="Y410" s="295">
        <v>18</v>
      </c>
      <c r="Z410" s="295">
        <v>0</v>
      </c>
      <c r="AA410" s="295">
        <v>0</v>
      </c>
      <c r="AB410" s="295">
        <v>0</v>
      </c>
      <c r="AC410" s="295">
        <v>0</v>
      </c>
      <c r="AD410" s="295">
        <v>0</v>
      </c>
      <c r="AE410" s="295">
        <v>0</v>
      </c>
      <c r="AF410" s="295">
        <v>0</v>
      </c>
      <c r="AG410" s="295">
        <v>0</v>
      </c>
      <c r="AH410" s="295">
        <v>1502.5</v>
      </c>
      <c r="AI410" s="362"/>
    </row>
    <row r="411" spans="1:35">
      <c r="A411" s="291">
        <v>31921</v>
      </c>
      <c r="B411" s="291">
        <v>42806</v>
      </c>
      <c r="C411" s="292" t="s">
        <v>1507</v>
      </c>
      <c r="D411" s="293" t="s">
        <v>180</v>
      </c>
      <c r="E411" s="293" t="str">
        <f t="shared" si="6"/>
        <v>Q</v>
      </c>
      <c r="F411" s="293" t="s">
        <v>126</v>
      </c>
      <c r="G411" s="294">
        <v>825</v>
      </c>
      <c r="H411" s="292" t="s">
        <v>97</v>
      </c>
      <c r="I411" s="292" t="s">
        <v>1896</v>
      </c>
      <c r="J411" s="293" t="s">
        <v>409</v>
      </c>
      <c r="K411" s="293"/>
      <c r="L411" s="293" t="s">
        <v>409</v>
      </c>
      <c r="M411" s="293" t="s">
        <v>503</v>
      </c>
      <c r="N411" s="295">
        <v>1404</v>
      </c>
      <c r="O411" s="296" t="s">
        <v>673</v>
      </c>
      <c r="P411" s="295">
        <v>0</v>
      </c>
      <c r="Q411" s="295">
        <v>0</v>
      </c>
      <c r="R411" s="295">
        <v>0</v>
      </c>
      <c r="S411" s="295">
        <v>1384</v>
      </c>
      <c r="T411" s="295">
        <v>1384</v>
      </c>
      <c r="U411" s="295">
        <v>30</v>
      </c>
      <c r="V411" s="295">
        <v>10</v>
      </c>
      <c r="W411" s="295">
        <v>5.5</v>
      </c>
      <c r="X411" s="295">
        <v>5</v>
      </c>
      <c r="Y411" s="295">
        <v>18</v>
      </c>
      <c r="Z411" s="295">
        <v>15</v>
      </c>
      <c r="AA411" s="295">
        <v>70</v>
      </c>
      <c r="AB411" s="295">
        <v>0</v>
      </c>
      <c r="AC411" s="295">
        <v>0</v>
      </c>
      <c r="AD411" s="295">
        <v>0</v>
      </c>
      <c r="AE411" s="295">
        <v>0</v>
      </c>
      <c r="AF411" s="295">
        <v>0</v>
      </c>
      <c r="AG411" s="295">
        <v>0</v>
      </c>
      <c r="AH411" s="295">
        <v>1537.5</v>
      </c>
      <c r="AI411" s="362"/>
    </row>
    <row r="412" spans="1:35">
      <c r="A412" s="291">
        <v>11148</v>
      </c>
      <c r="B412" s="291">
        <v>42848</v>
      </c>
      <c r="C412" s="292" t="s">
        <v>1508</v>
      </c>
      <c r="D412" s="293" t="s">
        <v>180</v>
      </c>
      <c r="E412" s="293" t="str">
        <f t="shared" si="6"/>
        <v>Q</v>
      </c>
      <c r="F412" s="293" t="s">
        <v>126</v>
      </c>
      <c r="G412" s="294">
        <v>825</v>
      </c>
      <c r="H412" s="292" t="s">
        <v>97</v>
      </c>
      <c r="I412" s="292" t="s">
        <v>1509</v>
      </c>
      <c r="J412" s="293" t="s">
        <v>282</v>
      </c>
      <c r="K412" s="293"/>
      <c r="L412" s="293" t="s">
        <v>426</v>
      </c>
      <c r="M412" s="293" t="s">
        <v>1822</v>
      </c>
      <c r="N412" s="295">
        <v>1404</v>
      </c>
      <c r="O412" s="296" t="s">
        <v>673</v>
      </c>
      <c r="P412" s="295">
        <v>0</v>
      </c>
      <c r="Q412" s="295">
        <v>0</v>
      </c>
      <c r="R412" s="295">
        <v>0</v>
      </c>
      <c r="S412" s="295">
        <v>1484</v>
      </c>
      <c r="T412" s="295">
        <v>1484</v>
      </c>
      <c r="U412" s="295">
        <v>30</v>
      </c>
      <c r="V412" s="295">
        <v>10</v>
      </c>
      <c r="W412" s="295">
        <v>5.5</v>
      </c>
      <c r="X412" s="295">
        <v>5</v>
      </c>
      <c r="Y412" s="295">
        <v>18</v>
      </c>
      <c r="Z412" s="295">
        <v>0</v>
      </c>
      <c r="AA412" s="295">
        <v>70</v>
      </c>
      <c r="AB412" s="295">
        <v>35</v>
      </c>
      <c r="AC412" s="295">
        <v>0</v>
      </c>
      <c r="AD412" s="295">
        <v>0</v>
      </c>
      <c r="AE412" s="295">
        <v>0</v>
      </c>
      <c r="AF412" s="295">
        <v>0</v>
      </c>
      <c r="AG412" s="295">
        <v>0</v>
      </c>
      <c r="AH412" s="295">
        <v>1657.5</v>
      </c>
      <c r="AI412" s="362"/>
    </row>
    <row r="413" spans="1:35">
      <c r="A413" s="291">
        <v>32152</v>
      </c>
      <c r="B413" s="291">
        <v>43244</v>
      </c>
      <c r="C413" s="292" t="s">
        <v>1510</v>
      </c>
      <c r="D413" s="293" t="s">
        <v>180</v>
      </c>
      <c r="E413" s="293" t="str">
        <f t="shared" si="6"/>
        <v>Q</v>
      </c>
      <c r="F413" s="293" t="s">
        <v>126</v>
      </c>
      <c r="G413" s="294">
        <v>825</v>
      </c>
      <c r="H413" s="292" t="s">
        <v>97</v>
      </c>
      <c r="I413" s="292" t="s">
        <v>2188</v>
      </c>
      <c r="J413" s="293" t="s">
        <v>1568</v>
      </c>
      <c r="K413" s="293"/>
      <c r="L413" s="293" t="s">
        <v>1568</v>
      </c>
      <c r="M413" s="293" t="s">
        <v>2125</v>
      </c>
      <c r="N413" s="295">
        <v>1274</v>
      </c>
      <c r="O413" s="296" t="s">
        <v>673</v>
      </c>
      <c r="P413" s="295">
        <v>0</v>
      </c>
      <c r="Q413" s="295">
        <v>0</v>
      </c>
      <c r="R413" s="295">
        <v>0</v>
      </c>
      <c r="S413" s="295">
        <v>1274</v>
      </c>
      <c r="T413" s="295">
        <v>1274</v>
      </c>
      <c r="U413" s="295">
        <v>30</v>
      </c>
      <c r="V413" s="295">
        <v>10</v>
      </c>
      <c r="W413" s="295">
        <v>5.5</v>
      </c>
      <c r="X413" s="295">
        <v>5</v>
      </c>
      <c r="Y413" s="295">
        <v>18</v>
      </c>
      <c r="Z413" s="295">
        <v>15</v>
      </c>
      <c r="AA413" s="295">
        <v>70</v>
      </c>
      <c r="AB413" s="295">
        <v>0</v>
      </c>
      <c r="AC413" s="295">
        <v>0</v>
      </c>
      <c r="AD413" s="295">
        <v>0</v>
      </c>
      <c r="AE413" s="295">
        <v>0</v>
      </c>
      <c r="AF413" s="295">
        <v>0</v>
      </c>
      <c r="AG413" s="295">
        <v>0</v>
      </c>
      <c r="AH413" s="295">
        <v>1427.5</v>
      </c>
      <c r="AI413" s="362"/>
    </row>
    <row r="414" spans="1:35">
      <c r="A414" s="291">
        <v>31529</v>
      </c>
      <c r="B414" s="291">
        <v>42700</v>
      </c>
      <c r="C414" s="292" t="s">
        <v>1511</v>
      </c>
      <c r="D414" s="293" t="s">
        <v>171</v>
      </c>
      <c r="E414" s="293" t="str">
        <f t="shared" si="6"/>
        <v>F</v>
      </c>
      <c r="F414" s="293" t="s">
        <v>126</v>
      </c>
      <c r="G414" s="294">
        <v>825</v>
      </c>
      <c r="H414" s="292" t="s">
        <v>97</v>
      </c>
      <c r="I414" s="292" t="s">
        <v>1512</v>
      </c>
      <c r="J414" s="293" t="s">
        <v>1513</v>
      </c>
      <c r="K414" s="293"/>
      <c r="L414" s="293" t="s">
        <v>524</v>
      </c>
      <c r="M414" s="293" t="s">
        <v>525</v>
      </c>
      <c r="N414" s="295">
        <v>1294</v>
      </c>
      <c r="O414" s="296" t="s">
        <v>673</v>
      </c>
      <c r="P414" s="295">
        <v>0</v>
      </c>
      <c r="Q414" s="295">
        <v>0</v>
      </c>
      <c r="R414" s="295">
        <v>0</v>
      </c>
      <c r="S414" s="295">
        <v>1354</v>
      </c>
      <c r="T414" s="295">
        <v>1354</v>
      </c>
      <c r="U414" s="295">
        <v>30</v>
      </c>
      <c r="V414" s="295">
        <v>10</v>
      </c>
      <c r="W414" s="295">
        <v>5.5</v>
      </c>
      <c r="X414" s="295">
        <v>5</v>
      </c>
      <c r="Y414" s="295">
        <v>18</v>
      </c>
      <c r="Z414" s="295">
        <v>0</v>
      </c>
      <c r="AA414" s="295">
        <v>0</v>
      </c>
      <c r="AB414" s="295">
        <v>0</v>
      </c>
      <c r="AC414" s="295">
        <v>0</v>
      </c>
      <c r="AD414" s="295">
        <v>0</v>
      </c>
      <c r="AE414" s="295">
        <v>0</v>
      </c>
      <c r="AF414" s="295">
        <v>0</v>
      </c>
      <c r="AG414" s="295">
        <v>0</v>
      </c>
      <c r="AH414" s="295">
        <v>1422.5</v>
      </c>
      <c r="AI414" s="362"/>
    </row>
    <row r="415" spans="1:35">
      <c r="A415" s="291">
        <v>31887</v>
      </c>
      <c r="B415" s="291">
        <v>42728</v>
      </c>
      <c r="C415" s="292" t="s">
        <v>1514</v>
      </c>
      <c r="D415" s="293" t="s">
        <v>171</v>
      </c>
      <c r="E415" s="293" t="str">
        <f t="shared" si="6"/>
        <v>F</v>
      </c>
      <c r="F415" s="293" t="s">
        <v>126</v>
      </c>
      <c r="G415" s="294">
        <v>825</v>
      </c>
      <c r="H415" s="292" t="s">
        <v>97</v>
      </c>
      <c r="I415" s="292" t="s">
        <v>1515</v>
      </c>
      <c r="J415" s="293" t="s">
        <v>518</v>
      </c>
      <c r="K415" s="293"/>
      <c r="L415" s="293" t="s">
        <v>518</v>
      </c>
      <c r="M415" s="293" t="s">
        <v>521</v>
      </c>
      <c r="N415" s="295">
        <v>1294</v>
      </c>
      <c r="O415" s="296" t="s">
        <v>673</v>
      </c>
      <c r="P415" s="295">
        <v>0</v>
      </c>
      <c r="Q415" s="295">
        <v>0</v>
      </c>
      <c r="R415" s="295">
        <v>0</v>
      </c>
      <c r="S415" s="295">
        <v>1324</v>
      </c>
      <c r="T415" s="295">
        <v>1324</v>
      </c>
      <c r="U415" s="295">
        <v>30</v>
      </c>
      <c r="V415" s="295">
        <v>10</v>
      </c>
      <c r="W415" s="295">
        <v>5.5</v>
      </c>
      <c r="X415" s="295">
        <v>5</v>
      </c>
      <c r="Y415" s="295">
        <v>18</v>
      </c>
      <c r="Z415" s="295">
        <v>15</v>
      </c>
      <c r="AA415" s="295">
        <v>0</v>
      </c>
      <c r="AB415" s="295">
        <v>0</v>
      </c>
      <c r="AC415" s="295">
        <v>0</v>
      </c>
      <c r="AD415" s="295">
        <v>0</v>
      </c>
      <c r="AE415" s="295">
        <v>0</v>
      </c>
      <c r="AF415" s="295">
        <v>0</v>
      </c>
      <c r="AG415" s="295">
        <v>0</v>
      </c>
      <c r="AH415" s="295">
        <v>1407.5</v>
      </c>
      <c r="AI415" s="362"/>
    </row>
    <row r="416" spans="1:35">
      <c r="A416" s="291">
        <v>11222</v>
      </c>
      <c r="B416" s="291">
        <v>21712</v>
      </c>
      <c r="C416" s="292" t="s">
        <v>1516</v>
      </c>
      <c r="D416" s="293" t="s">
        <v>180</v>
      </c>
      <c r="E416" s="293" t="str">
        <f t="shared" si="6"/>
        <v>Q</v>
      </c>
      <c r="F416" s="293" t="s">
        <v>126</v>
      </c>
      <c r="G416" s="294">
        <v>825</v>
      </c>
      <c r="H416" s="292" t="s">
        <v>97</v>
      </c>
      <c r="I416" s="292" t="s">
        <v>1517</v>
      </c>
      <c r="J416" s="293" t="s">
        <v>1518</v>
      </c>
      <c r="K416" s="293"/>
      <c r="L416" s="293" t="s">
        <v>1518</v>
      </c>
      <c r="M416" s="293" t="s">
        <v>412</v>
      </c>
      <c r="N416" s="295">
        <v>1404</v>
      </c>
      <c r="O416" s="296" t="s">
        <v>673</v>
      </c>
      <c r="P416" s="295">
        <v>0</v>
      </c>
      <c r="Q416" s="295">
        <v>0</v>
      </c>
      <c r="R416" s="295">
        <v>33.32</v>
      </c>
      <c r="S416" s="295">
        <v>1484</v>
      </c>
      <c r="T416" s="295">
        <v>1484</v>
      </c>
      <c r="U416" s="295">
        <v>30</v>
      </c>
      <c r="V416" s="295">
        <v>10</v>
      </c>
      <c r="W416" s="295">
        <v>5.5</v>
      </c>
      <c r="X416" s="295">
        <v>5</v>
      </c>
      <c r="Y416" s="295">
        <v>18</v>
      </c>
      <c r="Z416" s="295">
        <v>0</v>
      </c>
      <c r="AA416" s="295">
        <v>0</v>
      </c>
      <c r="AB416" s="295">
        <v>0</v>
      </c>
      <c r="AC416" s="295">
        <v>0</v>
      </c>
      <c r="AD416" s="295">
        <v>250</v>
      </c>
      <c r="AE416" s="295">
        <v>0</v>
      </c>
      <c r="AF416" s="295">
        <v>0</v>
      </c>
      <c r="AG416" s="295">
        <v>0</v>
      </c>
      <c r="AH416" s="295">
        <v>1802.5</v>
      </c>
      <c r="AI416" s="362"/>
    </row>
    <row r="417" spans="1:35">
      <c r="A417" s="291">
        <v>31793</v>
      </c>
      <c r="B417" s="291">
        <v>43088</v>
      </c>
      <c r="C417" s="292" t="s">
        <v>1519</v>
      </c>
      <c r="D417" s="293" t="s">
        <v>180</v>
      </c>
      <c r="E417" s="293" t="str">
        <f t="shared" si="6"/>
        <v>Q</v>
      </c>
      <c r="F417" s="293" t="s">
        <v>126</v>
      </c>
      <c r="G417" s="294">
        <v>825</v>
      </c>
      <c r="H417" s="292" t="s">
        <v>97</v>
      </c>
      <c r="I417" s="292" t="s">
        <v>1520</v>
      </c>
      <c r="J417" s="293" t="s">
        <v>1150</v>
      </c>
      <c r="K417" s="293"/>
      <c r="L417" s="293" t="s">
        <v>2189</v>
      </c>
      <c r="M417" s="293" t="s">
        <v>2190</v>
      </c>
      <c r="N417" s="295">
        <v>1389</v>
      </c>
      <c r="O417" s="296" t="s">
        <v>673</v>
      </c>
      <c r="P417" s="295">
        <v>0</v>
      </c>
      <c r="Q417" s="295">
        <v>0</v>
      </c>
      <c r="R417" s="295">
        <v>0</v>
      </c>
      <c r="S417" s="295">
        <v>1399</v>
      </c>
      <c r="T417" s="295">
        <v>1399</v>
      </c>
      <c r="U417" s="295">
        <v>30</v>
      </c>
      <c r="V417" s="295">
        <v>10</v>
      </c>
      <c r="W417" s="295">
        <v>5.5</v>
      </c>
      <c r="X417" s="295">
        <v>5</v>
      </c>
      <c r="Y417" s="295">
        <v>18</v>
      </c>
      <c r="Z417" s="295">
        <v>0</v>
      </c>
      <c r="AA417" s="295">
        <v>70</v>
      </c>
      <c r="AB417" s="295">
        <v>0</v>
      </c>
      <c r="AC417" s="295">
        <v>0</v>
      </c>
      <c r="AD417" s="295">
        <v>0</v>
      </c>
      <c r="AE417" s="295">
        <v>0</v>
      </c>
      <c r="AF417" s="295">
        <v>0</v>
      </c>
      <c r="AG417" s="295">
        <v>0</v>
      </c>
      <c r="AH417" s="295">
        <v>1537.5</v>
      </c>
      <c r="AI417" s="362"/>
    </row>
    <row r="418" spans="1:35">
      <c r="A418" s="291">
        <v>31889</v>
      </c>
      <c r="B418" s="291">
        <v>42730</v>
      </c>
      <c r="C418" s="292" t="s">
        <v>1521</v>
      </c>
      <c r="D418" s="293" t="s">
        <v>677</v>
      </c>
      <c r="E418" s="293" t="str">
        <f t="shared" si="6"/>
        <v>G</v>
      </c>
      <c r="F418" s="293" t="s">
        <v>126</v>
      </c>
      <c r="G418" s="294">
        <v>1076</v>
      </c>
      <c r="H418" s="292" t="s">
        <v>97</v>
      </c>
      <c r="I418" s="292" t="s">
        <v>1522</v>
      </c>
      <c r="J418" s="293" t="s">
        <v>511</v>
      </c>
      <c r="K418" s="293"/>
      <c r="L418" s="293" t="s">
        <v>511</v>
      </c>
      <c r="M418" s="293" t="s">
        <v>508</v>
      </c>
      <c r="N418" s="295">
        <v>1594</v>
      </c>
      <c r="O418" s="296" t="s">
        <v>673</v>
      </c>
      <c r="P418" s="295">
        <v>0</v>
      </c>
      <c r="Q418" s="295">
        <v>0</v>
      </c>
      <c r="R418" s="295">
        <v>0</v>
      </c>
      <c r="S418" s="295">
        <v>1564</v>
      </c>
      <c r="T418" s="295">
        <v>1564</v>
      </c>
      <c r="U418" s="295">
        <v>30</v>
      </c>
      <c r="V418" s="295">
        <v>10</v>
      </c>
      <c r="W418" s="295">
        <v>5.5</v>
      </c>
      <c r="X418" s="295">
        <v>5</v>
      </c>
      <c r="Y418" s="295">
        <v>18</v>
      </c>
      <c r="Z418" s="295">
        <v>0</v>
      </c>
      <c r="AA418" s="295">
        <v>0</v>
      </c>
      <c r="AB418" s="295">
        <v>0</v>
      </c>
      <c r="AC418" s="295">
        <v>0</v>
      </c>
      <c r="AD418" s="295">
        <v>0</v>
      </c>
      <c r="AE418" s="295">
        <v>0</v>
      </c>
      <c r="AF418" s="295">
        <v>0</v>
      </c>
      <c r="AG418" s="295">
        <v>0</v>
      </c>
      <c r="AH418" s="295">
        <v>1632.5</v>
      </c>
      <c r="AI418" s="362"/>
    </row>
    <row r="419" spans="1:35">
      <c r="A419" s="291">
        <v>31904</v>
      </c>
      <c r="B419" s="291">
        <v>42774</v>
      </c>
      <c r="C419" s="292" t="s">
        <v>1523</v>
      </c>
      <c r="D419" s="293" t="s">
        <v>147</v>
      </c>
      <c r="E419" s="293" t="str">
        <f t="shared" si="6"/>
        <v>Q</v>
      </c>
      <c r="F419" s="293" t="s">
        <v>126</v>
      </c>
      <c r="G419" s="294">
        <v>1076</v>
      </c>
      <c r="H419" s="292" t="s">
        <v>97</v>
      </c>
      <c r="I419" s="292" t="s">
        <v>1524</v>
      </c>
      <c r="J419" s="293" t="s">
        <v>416</v>
      </c>
      <c r="K419" s="293"/>
      <c r="L419" s="293" t="s">
        <v>416</v>
      </c>
      <c r="M419" s="293" t="s">
        <v>501</v>
      </c>
      <c r="N419" s="295">
        <v>1644</v>
      </c>
      <c r="O419" s="296" t="s">
        <v>673</v>
      </c>
      <c r="P419" s="295">
        <v>0</v>
      </c>
      <c r="Q419" s="295">
        <v>0</v>
      </c>
      <c r="R419" s="295">
        <v>0</v>
      </c>
      <c r="S419" s="295">
        <v>1674</v>
      </c>
      <c r="T419" s="295">
        <v>1674</v>
      </c>
      <c r="U419" s="295">
        <v>30</v>
      </c>
      <c r="V419" s="295">
        <v>10</v>
      </c>
      <c r="W419" s="295">
        <v>5.5</v>
      </c>
      <c r="X419" s="295">
        <v>5</v>
      </c>
      <c r="Y419" s="295">
        <v>18</v>
      </c>
      <c r="Z419" s="295">
        <v>0</v>
      </c>
      <c r="AA419" s="295">
        <v>70</v>
      </c>
      <c r="AB419" s="295">
        <v>35</v>
      </c>
      <c r="AC419" s="295">
        <v>0</v>
      </c>
      <c r="AD419" s="295">
        <v>0</v>
      </c>
      <c r="AE419" s="295">
        <v>0</v>
      </c>
      <c r="AF419" s="295">
        <v>0</v>
      </c>
      <c r="AG419" s="295">
        <v>0</v>
      </c>
      <c r="AH419" s="295">
        <v>1847.5</v>
      </c>
      <c r="AI419" s="362"/>
    </row>
    <row r="420" spans="1:35">
      <c r="A420" s="291">
        <v>11084</v>
      </c>
      <c r="B420" s="291">
        <v>42715</v>
      </c>
      <c r="C420" s="292" t="s">
        <v>1525</v>
      </c>
      <c r="D420" s="293" t="s">
        <v>147</v>
      </c>
      <c r="E420" s="293" t="str">
        <f t="shared" si="6"/>
        <v>Q</v>
      </c>
      <c r="F420" s="293" t="s">
        <v>126</v>
      </c>
      <c r="G420" s="294">
        <v>1076</v>
      </c>
      <c r="H420" s="292" t="s">
        <v>97</v>
      </c>
      <c r="I420" s="292" t="s">
        <v>1526</v>
      </c>
      <c r="J420" s="293" t="s">
        <v>1527</v>
      </c>
      <c r="K420" s="293"/>
      <c r="L420" s="293" t="s">
        <v>379</v>
      </c>
      <c r="M420" s="293" t="s">
        <v>534</v>
      </c>
      <c r="N420" s="295">
        <v>1644</v>
      </c>
      <c r="O420" s="296" t="s">
        <v>673</v>
      </c>
      <c r="P420" s="295">
        <v>0</v>
      </c>
      <c r="Q420" s="295">
        <v>0</v>
      </c>
      <c r="R420" s="295">
        <v>-1800.1</v>
      </c>
      <c r="S420" s="295">
        <v>1695</v>
      </c>
      <c r="T420" s="295">
        <v>1695</v>
      </c>
      <c r="U420" s="295">
        <v>30</v>
      </c>
      <c r="V420" s="295">
        <v>10</v>
      </c>
      <c r="W420" s="295">
        <v>5.5</v>
      </c>
      <c r="X420" s="295">
        <v>5</v>
      </c>
      <c r="Y420" s="295">
        <v>0</v>
      </c>
      <c r="Z420" s="295">
        <v>0</v>
      </c>
      <c r="AA420" s="295">
        <v>0</v>
      </c>
      <c r="AB420" s="295">
        <v>0</v>
      </c>
      <c r="AC420" s="295">
        <v>0</v>
      </c>
      <c r="AD420" s="295">
        <v>0</v>
      </c>
      <c r="AE420" s="295">
        <v>0</v>
      </c>
      <c r="AF420" s="295">
        <v>0</v>
      </c>
      <c r="AG420" s="295">
        <v>0</v>
      </c>
      <c r="AH420" s="295">
        <v>1745.5</v>
      </c>
      <c r="AI420" s="362"/>
    </row>
    <row r="421" spans="1:35">
      <c r="A421" s="291">
        <v>31881</v>
      </c>
      <c r="B421" s="291">
        <v>42709</v>
      </c>
      <c r="C421" s="292" t="s">
        <v>1528</v>
      </c>
      <c r="D421" s="293" t="s">
        <v>677</v>
      </c>
      <c r="E421" s="293" t="str">
        <f t="shared" si="6"/>
        <v>G</v>
      </c>
      <c r="F421" s="293" t="s">
        <v>126</v>
      </c>
      <c r="G421" s="294">
        <v>1076</v>
      </c>
      <c r="H421" s="292" t="s">
        <v>97</v>
      </c>
      <c r="I421" s="292" t="s">
        <v>1529</v>
      </c>
      <c r="J421" s="293" t="s">
        <v>493</v>
      </c>
      <c r="K421" s="293"/>
      <c r="L421" s="293" t="s">
        <v>493</v>
      </c>
      <c r="M421" s="293" t="s">
        <v>517</v>
      </c>
      <c r="N421" s="295">
        <v>1594</v>
      </c>
      <c r="O421" s="296" t="s">
        <v>673</v>
      </c>
      <c r="P421" s="295">
        <v>0</v>
      </c>
      <c r="Q421" s="295">
        <v>0</v>
      </c>
      <c r="R421" s="295">
        <v>0</v>
      </c>
      <c r="S421" s="295">
        <v>1624</v>
      </c>
      <c r="T421" s="295">
        <v>1624</v>
      </c>
      <c r="U421" s="295">
        <v>30</v>
      </c>
      <c r="V421" s="295">
        <v>10</v>
      </c>
      <c r="W421" s="295">
        <v>5.5</v>
      </c>
      <c r="X421" s="295">
        <v>5</v>
      </c>
      <c r="Y421" s="295">
        <v>0</v>
      </c>
      <c r="Z421" s="295">
        <v>15</v>
      </c>
      <c r="AA421" s="295">
        <v>0</v>
      </c>
      <c r="AB421" s="295">
        <v>0</v>
      </c>
      <c r="AC421" s="295">
        <v>0</v>
      </c>
      <c r="AD421" s="295">
        <v>0</v>
      </c>
      <c r="AE421" s="295">
        <v>0</v>
      </c>
      <c r="AF421" s="295">
        <v>0</v>
      </c>
      <c r="AG421" s="295">
        <v>0</v>
      </c>
      <c r="AH421" s="295">
        <v>1689.5</v>
      </c>
      <c r="AI421" s="362"/>
    </row>
    <row r="422" spans="1:35">
      <c r="A422" s="291">
        <v>112</v>
      </c>
      <c r="B422" s="291">
        <v>42861</v>
      </c>
      <c r="C422" s="292" t="s">
        <v>1530</v>
      </c>
      <c r="D422" s="293" t="s">
        <v>147</v>
      </c>
      <c r="E422" s="293" t="str">
        <f t="shared" si="6"/>
        <v>Q</v>
      </c>
      <c r="F422" s="293" t="s">
        <v>126</v>
      </c>
      <c r="G422" s="294">
        <v>1076</v>
      </c>
      <c r="H422" s="292" t="s">
        <v>97</v>
      </c>
      <c r="I422" s="292" t="s">
        <v>918</v>
      </c>
      <c r="J422" s="293" t="s">
        <v>399</v>
      </c>
      <c r="K422" s="293"/>
      <c r="L422" s="293" t="s">
        <v>399</v>
      </c>
      <c r="M422" s="293" t="s">
        <v>1860</v>
      </c>
      <c r="N422" s="295">
        <v>1644</v>
      </c>
      <c r="O422" s="296" t="s">
        <v>673</v>
      </c>
      <c r="P422" s="295">
        <v>0</v>
      </c>
      <c r="Q422" s="295">
        <v>0</v>
      </c>
      <c r="R422" s="295">
        <v>0</v>
      </c>
      <c r="S422" s="295">
        <v>1674</v>
      </c>
      <c r="T422" s="295">
        <v>1674</v>
      </c>
      <c r="U422" s="295">
        <v>30</v>
      </c>
      <c r="V422" s="295">
        <v>10</v>
      </c>
      <c r="W422" s="295">
        <v>5.5</v>
      </c>
      <c r="X422" s="295">
        <v>5</v>
      </c>
      <c r="Y422" s="295">
        <v>0</v>
      </c>
      <c r="Z422" s="295">
        <v>15</v>
      </c>
      <c r="AA422" s="295">
        <v>70</v>
      </c>
      <c r="AB422" s="295">
        <v>0</v>
      </c>
      <c r="AC422" s="295">
        <v>0</v>
      </c>
      <c r="AD422" s="295">
        <v>0</v>
      </c>
      <c r="AE422" s="295">
        <v>0</v>
      </c>
      <c r="AF422" s="295">
        <v>0</v>
      </c>
      <c r="AG422" s="295">
        <v>0</v>
      </c>
      <c r="AH422" s="295">
        <v>1809.5</v>
      </c>
      <c r="AI422" s="362"/>
    </row>
    <row r="423" spans="1:35">
      <c r="A423" s="291">
        <v>32000</v>
      </c>
      <c r="B423" s="291">
        <v>42945</v>
      </c>
      <c r="C423" s="292" t="s">
        <v>1531</v>
      </c>
      <c r="D423" s="293" t="s">
        <v>153</v>
      </c>
      <c r="E423" s="293" t="str">
        <f t="shared" si="6"/>
        <v>F</v>
      </c>
      <c r="F423" s="293" t="s">
        <v>126</v>
      </c>
      <c r="G423" s="294">
        <v>1076</v>
      </c>
      <c r="H423" s="292" t="s">
        <v>97</v>
      </c>
      <c r="I423" s="292" t="s">
        <v>1897</v>
      </c>
      <c r="J423" s="293" t="s">
        <v>1324</v>
      </c>
      <c r="K423" s="293"/>
      <c r="L423" s="293" t="s">
        <v>1324</v>
      </c>
      <c r="M423" s="293" t="s">
        <v>1799</v>
      </c>
      <c r="N423" s="295">
        <v>1524</v>
      </c>
      <c r="O423" s="296" t="s">
        <v>673</v>
      </c>
      <c r="P423" s="295">
        <v>0</v>
      </c>
      <c r="Q423" s="295">
        <v>0</v>
      </c>
      <c r="R423" s="295">
        <v>0</v>
      </c>
      <c r="S423" s="295">
        <v>1434</v>
      </c>
      <c r="T423" s="295">
        <v>1434</v>
      </c>
      <c r="U423" s="295">
        <v>30</v>
      </c>
      <c r="V423" s="295">
        <v>10</v>
      </c>
      <c r="W423" s="295">
        <v>5.5</v>
      </c>
      <c r="X423" s="295">
        <v>5</v>
      </c>
      <c r="Y423" s="295">
        <v>18</v>
      </c>
      <c r="Z423" s="295">
        <v>0</v>
      </c>
      <c r="AA423" s="295">
        <v>70</v>
      </c>
      <c r="AB423" s="295">
        <v>0</v>
      </c>
      <c r="AC423" s="295">
        <v>0</v>
      </c>
      <c r="AD423" s="295">
        <v>0</v>
      </c>
      <c r="AE423" s="295">
        <v>0</v>
      </c>
      <c r="AF423" s="295">
        <v>0</v>
      </c>
      <c r="AG423" s="295">
        <v>0</v>
      </c>
      <c r="AH423" s="295">
        <v>1572.5</v>
      </c>
      <c r="AI423" s="362"/>
    </row>
    <row r="424" spans="1:35">
      <c r="A424" s="291">
        <v>31959</v>
      </c>
      <c r="B424" s="291">
        <v>42879</v>
      </c>
      <c r="C424" s="292" t="s">
        <v>1532</v>
      </c>
      <c r="D424" s="293" t="s">
        <v>147</v>
      </c>
      <c r="E424" s="293" t="str">
        <f t="shared" si="6"/>
        <v>Q</v>
      </c>
      <c r="F424" s="293" t="s">
        <v>126</v>
      </c>
      <c r="G424" s="294">
        <v>1076</v>
      </c>
      <c r="H424" s="292" t="s">
        <v>97</v>
      </c>
      <c r="I424" s="292" t="s">
        <v>1898</v>
      </c>
      <c r="J424" s="293" t="s">
        <v>445</v>
      </c>
      <c r="K424" s="293"/>
      <c r="L424" s="293" t="s">
        <v>445</v>
      </c>
      <c r="M424" s="293" t="s">
        <v>1850</v>
      </c>
      <c r="N424" s="295">
        <v>1644</v>
      </c>
      <c r="O424" s="296" t="s">
        <v>673</v>
      </c>
      <c r="P424" s="295">
        <v>0</v>
      </c>
      <c r="Q424" s="295">
        <v>0</v>
      </c>
      <c r="R424" s="295">
        <v>0</v>
      </c>
      <c r="S424" s="295">
        <v>1674</v>
      </c>
      <c r="T424" s="295">
        <v>1674</v>
      </c>
      <c r="U424" s="295">
        <v>30</v>
      </c>
      <c r="V424" s="295">
        <v>10</v>
      </c>
      <c r="W424" s="295">
        <v>5.5</v>
      </c>
      <c r="X424" s="295">
        <v>5</v>
      </c>
      <c r="Y424" s="295">
        <v>18</v>
      </c>
      <c r="Z424" s="295">
        <v>0</v>
      </c>
      <c r="AA424" s="295">
        <v>70</v>
      </c>
      <c r="AB424" s="295">
        <v>0</v>
      </c>
      <c r="AC424" s="295">
        <v>0</v>
      </c>
      <c r="AD424" s="295">
        <v>0</v>
      </c>
      <c r="AE424" s="295">
        <v>0</v>
      </c>
      <c r="AF424" s="295">
        <v>0</v>
      </c>
      <c r="AG424" s="295">
        <v>0</v>
      </c>
      <c r="AH424" s="295">
        <v>1812.5</v>
      </c>
      <c r="AI424" s="362"/>
    </row>
    <row r="425" spans="1:35">
      <c r="A425" s="291">
        <v>31559</v>
      </c>
      <c r="B425" s="291">
        <v>42812</v>
      </c>
      <c r="C425" s="292" t="s">
        <v>1533</v>
      </c>
      <c r="D425" s="293" t="s">
        <v>677</v>
      </c>
      <c r="E425" s="293" t="str">
        <f t="shared" si="6"/>
        <v>G</v>
      </c>
      <c r="F425" s="293" t="s">
        <v>126</v>
      </c>
      <c r="G425" s="294">
        <v>1076</v>
      </c>
      <c r="H425" s="292" t="s">
        <v>97</v>
      </c>
      <c r="I425" s="292" t="s">
        <v>1534</v>
      </c>
      <c r="J425" s="293" t="s">
        <v>789</v>
      </c>
      <c r="K425" s="293"/>
      <c r="L425" s="293" t="s">
        <v>1504</v>
      </c>
      <c r="M425" s="293" t="s">
        <v>1792</v>
      </c>
      <c r="N425" s="295">
        <v>1594</v>
      </c>
      <c r="O425" s="296" t="s">
        <v>673</v>
      </c>
      <c r="P425" s="295">
        <v>0</v>
      </c>
      <c r="Q425" s="295">
        <v>0</v>
      </c>
      <c r="R425" s="295">
        <v>-1882.1</v>
      </c>
      <c r="S425" s="295">
        <v>1624</v>
      </c>
      <c r="T425" s="295">
        <v>1624</v>
      </c>
      <c r="U425" s="295">
        <v>30</v>
      </c>
      <c r="V425" s="295">
        <v>10</v>
      </c>
      <c r="W425" s="295">
        <v>5.5</v>
      </c>
      <c r="X425" s="295">
        <v>5</v>
      </c>
      <c r="Y425" s="295">
        <v>18</v>
      </c>
      <c r="Z425" s="295">
        <v>30</v>
      </c>
      <c r="AA425" s="295">
        <v>70</v>
      </c>
      <c r="AB425" s="295">
        <v>35</v>
      </c>
      <c r="AC425" s="295">
        <v>0</v>
      </c>
      <c r="AD425" s="295">
        <v>0</v>
      </c>
      <c r="AE425" s="295">
        <v>0</v>
      </c>
      <c r="AF425" s="295">
        <v>0</v>
      </c>
      <c r="AG425" s="295">
        <v>0</v>
      </c>
      <c r="AH425" s="295">
        <v>1827.5</v>
      </c>
      <c r="AI425" s="362"/>
    </row>
    <row r="426" spans="1:35">
      <c r="A426" s="291">
        <v>31861</v>
      </c>
      <c r="B426" s="291">
        <v>43215</v>
      </c>
      <c r="C426" s="292" t="s">
        <v>1535</v>
      </c>
      <c r="D426" s="293" t="s">
        <v>139</v>
      </c>
      <c r="E426" s="293" t="str">
        <f t="shared" si="6"/>
        <v>Q</v>
      </c>
      <c r="F426" s="293" t="s">
        <v>126</v>
      </c>
      <c r="G426" s="294">
        <v>600</v>
      </c>
      <c r="H426" s="292" t="s">
        <v>97</v>
      </c>
      <c r="I426" s="292" t="s">
        <v>1536</v>
      </c>
      <c r="J426" s="293" t="s">
        <v>486</v>
      </c>
      <c r="K426" s="293"/>
      <c r="L426" s="293" t="s">
        <v>1622</v>
      </c>
      <c r="M426" s="293" t="s">
        <v>2106</v>
      </c>
      <c r="N426" s="295">
        <v>1294</v>
      </c>
      <c r="O426" s="296" t="s">
        <v>673</v>
      </c>
      <c r="P426" s="295">
        <v>0</v>
      </c>
      <c r="Q426" s="295">
        <v>0</v>
      </c>
      <c r="R426" s="295">
        <v>0</v>
      </c>
      <c r="S426" s="295">
        <v>1363</v>
      </c>
      <c r="T426" s="295">
        <v>1363</v>
      </c>
      <c r="U426" s="295">
        <v>30</v>
      </c>
      <c r="V426" s="295">
        <v>10</v>
      </c>
      <c r="W426" s="295">
        <v>5.5</v>
      </c>
      <c r="X426" s="295">
        <v>5</v>
      </c>
      <c r="Y426" s="295">
        <v>18</v>
      </c>
      <c r="Z426" s="295">
        <v>0</v>
      </c>
      <c r="AA426" s="295">
        <v>70</v>
      </c>
      <c r="AB426" s="295">
        <v>35</v>
      </c>
      <c r="AC426" s="295">
        <v>0</v>
      </c>
      <c r="AD426" s="295">
        <v>0</v>
      </c>
      <c r="AE426" s="295">
        <v>0</v>
      </c>
      <c r="AF426" s="295">
        <v>0</v>
      </c>
      <c r="AG426" s="295">
        <v>0</v>
      </c>
      <c r="AH426" s="295">
        <v>1536.5</v>
      </c>
      <c r="AI426" s="362"/>
    </row>
    <row r="427" spans="1:35">
      <c r="A427" s="291">
        <v>31671</v>
      </c>
      <c r="B427" s="291">
        <v>43012</v>
      </c>
      <c r="C427" s="292" t="s">
        <v>1537</v>
      </c>
      <c r="D427" s="293" t="s">
        <v>129</v>
      </c>
      <c r="E427" s="293" t="str">
        <f t="shared" si="6"/>
        <v>F</v>
      </c>
      <c r="F427" s="293" t="s">
        <v>126</v>
      </c>
      <c r="G427" s="294">
        <v>600</v>
      </c>
      <c r="H427" s="292" t="s">
        <v>97</v>
      </c>
      <c r="I427" s="292" t="s">
        <v>1538</v>
      </c>
      <c r="J427" s="293" t="s">
        <v>437</v>
      </c>
      <c r="K427" s="293"/>
      <c r="L427" s="293" t="s">
        <v>423</v>
      </c>
      <c r="M427" s="293" t="s">
        <v>1983</v>
      </c>
      <c r="N427" s="295">
        <v>1184</v>
      </c>
      <c r="O427" s="296" t="s">
        <v>673</v>
      </c>
      <c r="P427" s="295">
        <v>0</v>
      </c>
      <c r="Q427" s="295">
        <v>0</v>
      </c>
      <c r="R427" s="295">
        <v>-1417.5</v>
      </c>
      <c r="S427" s="295">
        <v>1279</v>
      </c>
      <c r="T427" s="295">
        <v>1279</v>
      </c>
      <c r="U427" s="295">
        <v>30</v>
      </c>
      <c r="V427" s="295">
        <v>10</v>
      </c>
      <c r="W427" s="295">
        <v>5.5</v>
      </c>
      <c r="X427" s="295">
        <v>5</v>
      </c>
      <c r="Y427" s="295">
        <v>18</v>
      </c>
      <c r="Z427" s="295">
        <v>0</v>
      </c>
      <c r="AA427" s="295">
        <v>70</v>
      </c>
      <c r="AB427" s="295">
        <v>0</v>
      </c>
      <c r="AC427" s="295">
        <v>0</v>
      </c>
      <c r="AD427" s="295">
        <v>0</v>
      </c>
      <c r="AE427" s="295">
        <v>0</v>
      </c>
      <c r="AF427" s="295">
        <v>0</v>
      </c>
      <c r="AG427" s="295">
        <v>0</v>
      </c>
      <c r="AH427" s="295">
        <v>1417.5</v>
      </c>
      <c r="AI427" s="362"/>
    </row>
    <row r="428" spans="1:35">
      <c r="A428" s="291">
        <v>32076</v>
      </c>
      <c r="B428" s="291">
        <v>43106</v>
      </c>
      <c r="C428" s="292" t="s">
        <v>1540</v>
      </c>
      <c r="D428" s="293" t="s">
        <v>139</v>
      </c>
      <c r="E428" s="293" t="str">
        <f t="shared" si="6"/>
        <v>Q</v>
      </c>
      <c r="F428" s="293" t="s">
        <v>126</v>
      </c>
      <c r="G428" s="294">
        <v>600</v>
      </c>
      <c r="H428" s="292" t="s">
        <v>97</v>
      </c>
      <c r="I428" s="292" t="s">
        <v>2031</v>
      </c>
      <c r="J428" s="293" t="s">
        <v>2027</v>
      </c>
      <c r="K428" s="293"/>
      <c r="L428" s="293" t="s">
        <v>2027</v>
      </c>
      <c r="M428" s="293" t="s">
        <v>2032</v>
      </c>
      <c r="N428" s="295">
        <v>1294</v>
      </c>
      <c r="O428" s="296" t="s">
        <v>673</v>
      </c>
      <c r="P428" s="295">
        <v>0</v>
      </c>
      <c r="Q428" s="295">
        <v>0</v>
      </c>
      <c r="R428" s="295">
        <v>-1245.5</v>
      </c>
      <c r="S428" s="295">
        <v>1084</v>
      </c>
      <c r="T428" s="295">
        <v>1084</v>
      </c>
      <c r="U428" s="295">
        <v>30</v>
      </c>
      <c r="V428" s="295">
        <v>10</v>
      </c>
      <c r="W428" s="295">
        <v>5.5</v>
      </c>
      <c r="X428" s="295">
        <v>5</v>
      </c>
      <c r="Y428" s="295">
        <v>18</v>
      </c>
      <c r="Z428" s="295">
        <v>0</v>
      </c>
      <c r="AA428" s="295">
        <v>70</v>
      </c>
      <c r="AB428" s="295">
        <v>0</v>
      </c>
      <c r="AC428" s="295">
        <v>0</v>
      </c>
      <c r="AD428" s="295">
        <v>0</v>
      </c>
      <c r="AE428" s="295">
        <v>0</v>
      </c>
      <c r="AF428" s="295">
        <v>0</v>
      </c>
      <c r="AG428" s="295">
        <v>0</v>
      </c>
      <c r="AH428" s="295">
        <v>1222.5</v>
      </c>
      <c r="AI428" s="362"/>
    </row>
    <row r="429" spans="1:35">
      <c r="A429" s="291">
        <v>31918</v>
      </c>
      <c r="B429" s="291">
        <v>42799</v>
      </c>
      <c r="C429" s="292" t="s">
        <v>1541</v>
      </c>
      <c r="D429" s="293" t="s">
        <v>139</v>
      </c>
      <c r="E429" s="293" t="str">
        <f t="shared" si="6"/>
        <v>Q</v>
      </c>
      <c r="F429" s="293" t="s">
        <v>126</v>
      </c>
      <c r="G429" s="294">
        <v>600</v>
      </c>
      <c r="H429" s="292" t="s">
        <v>97</v>
      </c>
      <c r="I429" s="292" t="s">
        <v>1542</v>
      </c>
      <c r="J429" s="293" t="s">
        <v>533</v>
      </c>
      <c r="K429" s="293"/>
      <c r="L429" s="293" t="s">
        <v>533</v>
      </c>
      <c r="M429" s="293" t="s">
        <v>517</v>
      </c>
      <c r="N429" s="295">
        <v>1294</v>
      </c>
      <c r="O429" s="296" t="s">
        <v>673</v>
      </c>
      <c r="P429" s="295">
        <v>0</v>
      </c>
      <c r="Q429" s="295">
        <v>0</v>
      </c>
      <c r="R429" s="295">
        <v>32.33</v>
      </c>
      <c r="S429" s="295">
        <v>1204</v>
      </c>
      <c r="T429" s="295">
        <v>1204</v>
      </c>
      <c r="U429" s="295">
        <v>30</v>
      </c>
      <c r="V429" s="295">
        <v>10</v>
      </c>
      <c r="W429" s="295">
        <v>5.5</v>
      </c>
      <c r="X429" s="295">
        <v>5</v>
      </c>
      <c r="Y429" s="295">
        <v>0</v>
      </c>
      <c r="Z429" s="295">
        <v>0</v>
      </c>
      <c r="AA429" s="295">
        <v>70</v>
      </c>
      <c r="AB429" s="295">
        <v>0</v>
      </c>
      <c r="AC429" s="295">
        <v>0</v>
      </c>
      <c r="AD429" s="295">
        <v>0</v>
      </c>
      <c r="AE429" s="295">
        <v>0</v>
      </c>
      <c r="AF429" s="295">
        <v>0</v>
      </c>
      <c r="AG429" s="295">
        <v>0</v>
      </c>
      <c r="AH429" s="295">
        <v>1324.5</v>
      </c>
      <c r="AI429" s="362"/>
    </row>
    <row r="430" spans="1:35">
      <c r="A430" s="291">
        <v>92</v>
      </c>
      <c r="B430" s="291">
        <v>42519</v>
      </c>
      <c r="C430" s="292" t="s">
        <v>1543</v>
      </c>
      <c r="D430" s="293" t="s">
        <v>139</v>
      </c>
      <c r="E430" s="293" t="str">
        <f t="shared" si="6"/>
        <v>Q</v>
      </c>
      <c r="F430" s="293" t="s">
        <v>126</v>
      </c>
      <c r="G430" s="294">
        <v>600</v>
      </c>
      <c r="H430" s="292" t="s">
        <v>142</v>
      </c>
      <c r="I430" s="292" t="s">
        <v>1544</v>
      </c>
      <c r="J430" s="293" t="s">
        <v>1545</v>
      </c>
      <c r="K430" s="293" t="s">
        <v>2191</v>
      </c>
      <c r="L430" s="293" t="s">
        <v>1282</v>
      </c>
      <c r="M430" s="293" t="s">
        <v>1283</v>
      </c>
      <c r="N430" s="295">
        <v>1294</v>
      </c>
      <c r="O430" s="296" t="s">
        <v>673</v>
      </c>
      <c r="P430" s="295">
        <v>357</v>
      </c>
      <c r="Q430" s="295">
        <v>357</v>
      </c>
      <c r="R430" s="295">
        <v>0</v>
      </c>
      <c r="S430" s="295">
        <v>1199</v>
      </c>
      <c r="T430" s="295">
        <v>1199</v>
      </c>
      <c r="U430" s="295">
        <v>30</v>
      </c>
      <c r="V430" s="295">
        <v>10</v>
      </c>
      <c r="W430" s="295">
        <v>5.5</v>
      </c>
      <c r="X430" s="295">
        <v>5</v>
      </c>
      <c r="Y430" s="295">
        <v>18</v>
      </c>
      <c r="Z430" s="295">
        <v>0</v>
      </c>
      <c r="AA430" s="295">
        <v>70</v>
      </c>
      <c r="AB430" s="295">
        <v>0</v>
      </c>
      <c r="AC430" s="295">
        <v>0</v>
      </c>
      <c r="AD430" s="295">
        <v>0</v>
      </c>
      <c r="AE430" s="295">
        <v>0</v>
      </c>
      <c r="AF430" s="295">
        <v>0</v>
      </c>
      <c r="AG430" s="295">
        <v>0</v>
      </c>
      <c r="AH430" s="295">
        <v>1337.5</v>
      </c>
      <c r="AI430" s="362"/>
    </row>
    <row r="431" spans="1:35">
      <c r="A431" s="291">
        <v>0</v>
      </c>
      <c r="B431" s="291">
        <v>0</v>
      </c>
      <c r="C431" s="292" t="s">
        <v>1546</v>
      </c>
      <c r="D431" s="293" t="s">
        <v>129</v>
      </c>
      <c r="E431" s="293" t="str">
        <f t="shared" si="6"/>
        <v>F</v>
      </c>
      <c r="F431" s="293" t="s">
        <v>126</v>
      </c>
      <c r="G431" s="294">
        <v>600</v>
      </c>
      <c r="H431" s="292" t="s">
        <v>140</v>
      </c>
      <c r="I431" s="292" t="s">
        <v>682</v>
      </c>
      <c r="J431" s="293"/>
      <c r="K431" s="293"/>
      <c r="L431" s="293"/>
      <c r="M431" s="293"/>
      <c r="N431" s="295">
        <v>1184</v>
      </c>
      <c r="O431" s="296"/>
      <c r="P431" s="295">
        <v>0</v>
      </c>
      <c r="Q431" s="295">
        <v>0</v>
      </c>
      <c r="R431" s="295">
        <v>0</v>
      </c>
      <c r="S431" s="295">
        <v>0</v>
      </c>
      <c r="T431" s="295">
        <v>0</v>
      </c>
      <c r="U431" s="295">
        <v>0</v>
      </c>
      <c r="V431" s="295">
        <v>0</v>
      </c>
      <c r="W431" s="295">
        <v>0</v>
      </c>
      <c r="X431" s="295">
        <v>0</v>
      </c>
      <c r="Y431" s="295">
        <v>0</v>
      </c>
      <c r="Z431" s="295">
        <v>0</v>
      </c>
      <c r="AA431" s="295">
        <v>0</v>
      </c>
      <c r="AB431" s="295">
        <v>0</v>
      </c>
      <c r="AC431" s="295">
        <v>0</v>
      </c>
      <c r="AD431" s="295">
        <v>0</v>
      </c>
      <c r="AE431" s="295">
        <v>0</v>
      </c>
      <c r="AF431" s="295">
        <v>0</v>
      </c>
      <c r="AG431" s="295">
        <v>0</v>
      </c>
      <c r="AH431" s="295">
        <v>0</v>
      </c>
      <c r="AI431" s="362"/>
    </row>
    <row r="432" spans="1:35">
      <c r="A432" s="291">
        <v>32143</v>
      </c>
      <c r="B432" s="291">
        <v>43220</v>
      </c>
      <c r="C432" s="292" t="s">
        <v>1546</v>
      </c>
      <c r="D432" s="293" t="s">
        <v>129</v>
      </c>
      <c r="E432" s="293" t="str">
        <f t="shared" si="6"/>
        <v>F</v>
      </c>
      <c r="F432" s="293" t="s">
        <v>126</v>
      </c>
      <c r="G432" s="294">
        <v>600</v>
      </c>
      <c r="H432" s="292" t="s">
        <v>2082</v>
      </c>
      <c r="I432" s="292" t="s">
        <v>2192</v>
      </c>
      <c r="J432" s="293" t="s">
        <v>2193</v>
      </c>
      <c r="K432" s="293"/>
      <c r="L432" s="293" t="s">
        <v>2193</v>
      </c>
      <c r="M432" s="293" t="s">
        <v>2089</v>
      </c>
      <c r="N432" s="295">
        <v>0</v>
      </c>
      <c r="O432" s="296" t="s">
        <v>673</v>
      </c>
      <c r="P432" s="295">
        <v>0</v>
      </c>
      <c r="Q432" s="295">
        <v>0</v>
      </c>
      <c r="R432" s="295">
        <v>0</v>
      </c>
      <c r="S432" s="295">
        <v>1184</v>
      </c>
      <c r="T432" s="295">
        <v>1184</v>
      </c>
      <c r="U432" s="295">
        <v>30</v>
      </c>
      <c r="V432" s="295">
        <v>10</v>
      </c>
      <c r="W432" s="295">
        <v>5.5</v>
      </c>
      <c r="X432" s="295">
        <v>5</v>
      </c>
      <c r="Y432" s="295">
        <v>18</v>
      </c>
      <c r="Z432" s="295">
        <v>0</v>
      </c>
      <c r="AA432" s="295">
        <v>70</v>
      </c>
      <c r="AB432" s="295">
        <v>0</v>
      </c>
      <c r="AC432" s="295">
        <v>0</v>
      </c>
      <c r="AD432" s="295">
        <v>0</v>
      </c>
      <c r="AE432" s="295">
        <v>0</v>
      </c>
      <c r="AF432" s="295">
        <v>0</v>
      </c>
      <c r="AG432" s="295">
        <v>0</v>
      </c>
      <c r="AH432" s="295">
        <v>1322.5</v>
      </c>
      <c r="AI432" s="362"/>
    </row>
    <row r="433" spans="1:35">
      <c r="A433" s="291">
        <v>32048</v>
      </c>
      <c r="B433" s="291">
        <v>43057</v>
      </c>
      <c r="C433" s="292" t="s">
        <v>1548</v>
      </c>
      <c r="D433" s="293" t="s">
        <v>129</v>
      </c>
      <c r="E433" s="293" t="str">
        <f t="shared" si="6"/>
        <v>F</v>
      </c>
      <c r="F433" s="293" t="s">
        <v>126</v>
      </c>
      <c r="G433" s="294">
        <v>600</v>
      </c>
      <c r="H433" s="292" t="s">
        <v>97</v>
      </c>
      <c r="I433" s="292" t="s">
        <v>2033</v>
      </c>
      <c r="J433" s="293" t="s">
        <v>539</v>
      </c>
      <c r="K433" s="293"/>
      <c r="L433" s="293" t="s">
        <v>539</v>
      </c>
      <c r="M433" s="293" t="s">
        <v>1937</v>
      </c>
      <c r="N433" s="295">
        <v>1184</v>
      </c>
      <c r="O433" s="296" t="s">
        <v>673</v>
      </c>
      <c r="P433" s="295">
        <v>0</v>
      </c>
      <c r="Q433" s="295">
        <v>0</v>
      </c>
      <c r="R433" s="295">
        <v>0</v>
      </c>
      <c r="S433" s="295">
        <v>1084</v>
      </c>
      <c r="T433" s="295">
        <v>1084</v>
      </c>
      <c r="U433" s="295">
        <v>30</v>
      </c>
      <c r="V433" s="295">
        <v>10</v>
      </c>
      <c r="W433" s="295">
        <v>5.5</v>
      </c>
      <c r="X433" s="295">
        <v>5</v>
      </c>
      <c r="Y433" s="295">
        <v>18</v>
      </c>
      <c r="Z433" s="295">
        <v>0</v>
      </c>
      <c r="AA433" s="295">
        <v>70</v>
      </c>
      <c r="AB433" s="295">
        <v>0</v>
      </c>
      <c r="AC433" s="295">
        <v>0</v>
      </c>
      <c r="AD433" s="295">
        <v>0</v>
      </c>
      <c r="AE433" s="295">
        <v>0</v>
      </c>
      <c r="AF433" s="295">
        <v>0</v>
      </c>
      <c r="AG433" s="295">
        <v>0</v>
      </c>
      <c r="AH433" s="295">
        <v>1222.5</v>
      </c>
      <c r="AI433" s="362"/>
    </row>
    <row r="434" spans="1:35">
      <c r="A434" s="291">
        <v>32147</v>
      </c>
      <c r="B434" s="291">
        <v>43234</v>
      </c>
      <c r="C434" s="292" t="s">
        <v>1549</v>
      </c>
      <c r="D434" s="293" t="s">
        <v>139</v>
      </c>
      <c r="E434" s="293" t="str">
        <f t="shared" si="6"/>
        <v>Q</v>
      </c>
      <c r="F434" s="293" t="s">
        <v>126</v>
      </c>
      <c r="G434" s="294">
        <v>600</v>
      </c>
      <c r="H434" s="292" t="s">
        <v>97</v>
      </c>
      <c r="I434" s="292" t="s">
        <v>2194</v>
      </c>
      <c r="J434" s="293" t="s">
        <v>484</v>
      </c>
      <c r="K434" s="293"/>
      <c r="L434" s="293" t="s">
        <v>484</v>
      </c>
      <c r="M434" s="293" t="s">
        <v>2195</v>
      </c>
      <c r="N434" s="295">
        <v>1164</v>
      </c>
      <c r="O434" s="296" t="s">
        <v>673</v>
      </c>
      <c r="P434" s="295">
        <v>0</v>
      </c>
      <c r="Q434" s="295">
        <v>0</v>
      </c>
      <c r="R434" s="295">
        <v>75</v>
      </c>
      <c r="S434" s="295">
        <v>1164</v>
      </c>
      <c r="T434" s="295">
        <v>1164</v>
      </c>
      <c r="U434" s="295">
        <v>30</v>
      </c>
      <c r="V434" s="295">
        <v>10</v>
      </c>
      <c r="W434" s="295">
        <v>5.5</v>
      </c>
      <c r="X434" s="295">
        <v>5</v>
      </c>
      <c r="Y434" s="295">
        <v>18</v>
      </c>
      <c r="Z434" s="295">
        <v>0</v>
      </c>
      <c r="AA434" s="295">
        <v>70</v>
      </c>
      <c r="AB434" s="295">
        <v>0</v>
      </c>
      <c r="AC434" s="295">
        <v>0</v>
      </c>
      <c r="AD434" s="295">
        <v>0</v>
      </c>
      <c r="AE434" s="295">
        <v>0</v>
      </c>
      <c r="AF434" s="295">
        <v>0</v>
      </c>
      <c r="AG434" s="295">
        <v>0</v>
      </c>
      <c r="AH434" s="295">
        <v>1302.5</v>
      </c>
      <c r="AI434" s="362"/>
    </row>
    <row r="435" spans="1:35">
      <c r="A435" s="291">
        <v>32155</v>
      </c>
      <c r="B435" s="291">
        <v>43251</v>
      </c>
      <c r="C435" s="292" t="s">
        <v>1551</v>
      </c>
      <c r="D435" s="293" t="s">
        <v>167</v>
      </c>
      <c r="E435" s="293" t="str">
        <f t="shared" si="6"/>
        <v>Q</v>
      </c>
      <c r="F435" s="293" t="s">
        <v>126</v>
      </c>
      <c r="G435" s="294">
        <v>700</v>
      </c>
      <c r="H435" s="292" t="s">
        <v>97</v>
      </c>
      <c r="I435" s="292" t="s">
        <v>2196</v>
      </c>
      <c r="J435" s="293" t="s">
        <v>1423</v>
      </c>
      <c r="K435" s="293"/>
      <c r="L435" s="293" t="s">
        <v>1423</v>
      </c>
      <c r="M435" s="293" t="s">
        <v>2197</v>
      </c>
      <c r="N435" s="295">
        <v>1344</v>
      </c>
      <c r="O435" s="296" t="s">
        <v>673</v>
      </c>
      <c r="P435" s="295">
        <v>0</v>
      </c>
      <c r="Q435" s="295">
        <v>0</v>
      </c>
      <c r="R435" s="295">
        <v>0</v>
      </c>
      <c r="S435" s="295">
        <v>1344</v>
      </c>
      <c r="T435" s="295">
        <v>1344</v>
      </c>
      <c r="U435" s="295">
        <v>30</v>
      </c>
      <c r="V435" s="295">
        <v>10</v>
      </c>
      <c r="W435" s="295">
        <v>5.5</v>
      </c>
      <c r="X435" s="295">
        <v>5</v>
      </c>
      <c r="Y435" s="295">
        <v>18</v>
      </c>
      <c r="Z435" s="295">
        <v>0</v>
      </c>
      <c r="AA435" s="295">
        <v>70</v>
      </c>
      <c r="AB435" s="295">
        <v>0</v>
      </c>
      <c r="AC435" s="295">
        <v>0</v>
      </c>
      <c r="AD435" s="295">
        <v>0</v>
      </c>
      <c r="AE435" s="295">
        <v>0</v>
      </c>
      <c r="AF435" s="295">
        <v>0</v>
      </c>
      <c r="AG435" s="295">
        <v>0</v>
      </c>
      <c r="AH435" s="295">
        <v>1482.5</v>
      </c>
      <c r="AI435" s="362"/>
    </row>
    <row r="436" spans="1:35">
      <c r="A436" s="291">
        <v>31842</v>
      </c>
      <c r="B436" s="291">
        <v>43153</v>
      </c>
      <c r="C436" s="292" t="s">
        <v>1552</v>
      </c>
      <c r="D436" s="293" t="s">
        <v>167</v>
      </c>
      <c r="E436" s="293" t="str">
        <f t="shared" si="6"/>
        <v>Q</v>
      </c>
      <c r="F436" s="293" t="s">
        <v>126</v>
      </c>
      <c r="G436" s="294">
        <v>700</v>
      </c>
      <c r="H436" s="292" t="s">
        <v>97</v>
      </c>
      <c r="I436" s="292" t="s">
        <v>1553</v>
      </c>
      <c r="J436" s="293" t="s">
        <v>957</v>
      </c>
      <c r="K436" s="293"/>
      <c r="L436" s="293" t="s">
        <v>2184</v>
      </c>
      <c r="M436" s="293" t="s">
        <v>2114</v>
      </c>
      <c r="N436" s="295">
        <v>1344</v>
      </c>
      <c r="O436" s="296" t="s">
        <v>673</v>
      </c>
      <c r="P436" s="295">
        <v>0</v>
      </c>
      <c r="Q436" s="295">
        <v>0</v>
      </c>
      <c r="R436" s="295">
        <v>-900</v>
      </c>
      <c r="S436" s="295">
        <v>1413</v>
      </c>
      <c r="T436" s="295">
        <v>1413</v>
      </c>
      <c r="U436" s="295">
        <v>30</v>
      </c>
      <c r="V436" s="295">
        <v>10</v>
      </c>
      <c r="W436" s="295">
        <v>5.5</v>
      </c>
      <c r="X436" s="295">
        <v>5</v>
      </c>
      <c r="Y436" s="295">
        <v>18</v>
      </c>
      <c r="Z436" s="295">
        <v>0</v>
      </c>
      <c r="AA436" s="295">
        <v>70</v>
      </c>
      <c r="AB436" s="295">
        <v>35</v>
      </c>
      <c r="AC436" s="295">
        <v>0</v>
      </c>
      <c r="AD436" s="295">
        <v>0</v>
      </c>
      <c r="AE436" s="295">
        <v>0</v>
      </c>
      <c r="AF436" s="295">
        <v>0</v>
      </c>
      <c r="AG436" s="295">
        <v>0</v>
      </c>
      <c r="AH436" s="295">
        <v>1586.5</v>
      </c>
      <c r="AI436" s="362"/>
    </row>
    <row r="437" spans="1:35">
      <c r="A437" s="291">
        <v>32096</v>
      </c>
      <c r="B437" s="291">
        <v>43132</v>
      </c>
      <c r="C437" s="292" t="s">
        <v>1554</v>
      </c>
      <c r="D437" s="293" t="s">
        <v>167</v>
      </c>
      <c r="E437" s="293" t="str">
        <f t="shared" si="6"/>
        <v>Q</v>
      </c>
      <c r="F437" s="293" t="s">
        <v>126</v>
      </c>
      <c r="G437" s="294">
        <v>700</v>
      </c>
      <c r="H437" s="292" t="s">
        <v>97</v>
      </c>
      <c r="I437" s="292" t="s">
        <v>2198</v>
      </c>
      <c r="J437" s="293" t="s">
        <v>1661</v>
      </c>
      <c r="K437" s="293"/>
      <c r="L437" s="293" t="s">
        <v>1661</v>
      </c>
      <c r="M437" s="293" t="s">
        <v>2199</v>
      </c>
      <c r="N437" s="295">
        <v>1344</v>
      </c>
      <c r="O437" s="296" t="s">
        <v>673</v>
      </c>
      <c r="P437" s="295">
        <v>0</v>
      </c>
      <c r="Q437" s="295">
        <v>0</v>
      </c>
      <c r="R437" s="295">
        <v>0</v>
      </c>
      <c r="S437" s="295">
        <v>1174</v>
      </c>
      <c r="T437" s="295">
        <v>1174</v>
      </c>
      <c r="U437" s="295">
        <v>30</v>
      </c>
      <c r="V437" s="295">
        <v>10</v>
      </c>
      <c r="W437" s="295">
        <v>5.5</v>
      </c>
      <c r="X437" s="295">
        <v>5</v>
      </c>
      <c r="Y437" s="295">
        <v>18</v>
      </c>
      <c r="Z437" s="295">
        <v>0</v>
      </c>
      <c r="AA437" s="295">
        <v>70</v>
      </c>
      <c r="AB437" s="295">
        <v>0</v>
      </c>
      <c r="AC437" s="295">
        <v>0</v>
      </c>
      <c r="AD437" s="295">
        <v>0</v>
      </c>
      <c r="AE437" s="295">
        <v>0</v>
      </c>
      <c r="AF437" s="295">
        <v>0</v>
      </c>
      <c r="AG437" s="295">
        <v>0</v>
      </c>
      <c r="AH437" s="295">
        <v>1312.5</v>
      </c>
      <c r="AI437" s="362"/>
    </row>
    <row r="438" spans="1:35">
      <c r="A438" s="291">
        <v>11338</v>
      </c>
      <c r="B438" s="291">
        <v>21863</v>
      </c>
      <c r="C438" s="292" t="s">
        <v>1556</v>
      </c>
      <c r="D438" s="293" t="s">
        <v>164</v>
      </c>
      <c r="E438" s="293" t="str">
        <f t="shared" si="6"/>
        <v>F</v>
      </c>
      <c r="F438" s="293" t="s">
        <v>126</v>
      </c>
      <c r="G438" s="294">
        <v>700</v>
      </c>
      <c r="H438" s="292" t="s">
        <v>142</v>
      </c>
      <c r="I438" s="292" t="s">
        <v>1557</v>
      </c>
      <c r="J438" s="293" t="s">
        <v>1558</v>
      </c>
      <c r="K438" s="293" t="s">
        <v>2200</v>
      </c>
      <c r="L438" s="293" t="s">
        <v>1558</v>
      </c>
      <c r="M438" s="293" t="s">
        <v>368</v>
      </c>
      <c r="N438" s="295">
        <v>1234</v>
      </c>
      <c r="O438" s="296" t="s">
        <v>673</v>
      </c>
      <c r="P438" s="295">
        <v>0</v>
      </c>
      <c r="Q438" s="295">
        <v>0</v>
      </c>
      <c r="R438" s="295">
        <v>0</v>
      </c>
      <c r="S438" s="295">
        <v>1234</v>
      </c>
      <c r="T438" s="295">
        <v>1234</v>
      </c>
      <c r="U438" s="295">
        <v>30</v>
      </c>
      <c r="V438" s="295">
        <v>10</v>
      </c>
      <c r="W438" s="295">
        <v>5.5</v>
      </c>
      <c r="X438" s="295">
        <v>5</v>
      </c>
      <c r="Y438" s="295">
        <v>18</v>
      </c>
      <c r="Z438" s="295">
        <v>0</v>
      </c>
      <c r="AA438" s="295">
        <v>0</v>
      </c>
      <c r="AB438" s="295">
        <v>0</v>
      </c>
      <c r="AC438" s="295">
        <v>0</v>
      </c>
      <c r="AD438" s="295">
        <v>250</v>
      </c>
      <c r="AE438" s="295">
        <v>0</v>
      </c>
      <c r="AF438" s="295">
        <v>0</v>
      </c>
      <c r="AG438" s="295">
        <v>0</v>
      </c>
      <c r="AH438" s="295">
        <v>1552.5</v>
      </c>
      <c r="AI438" s="362"/>
    </row>
    <row r="439" spans="1:35">
      <c r="A439" s="291">
        <v>31503</v>
      </c>
      <c r="B439" s="291">
        <v>42783</v>
      </c>
      <c r="C439" s="292" t="s">
        <v>1559</v>
      </c>
      <c r="D439" s="293" t="s">
        <v>164</v>
      </c>
      <c r="E439" s="293" t="str">
        <f t="shared" si="6"/>
        <v>F</v>
      </c>
      <c r="F439" s="293" t="s">
        <v>126</v>
      </c>
      <c r="G439" s="294">
        <v>700</v>
      </c>
      <c r="H439" s="292" t="s">
        <v>97</v>
      </c>
      <c r="I439" s="292" t="s">
        <v>1560</v>
      </c>
      <c r="J439" s="293" t="s">
        <v>975</v>
      </c>
      <c r="K439" s="293"/>
      <c r="L439" s="293" t="s">
        <v>1113</v>
      </c>
      <c r="M439" s="293" t="s">
        <v>1813</v>
      </c>
      <c r="N439" s="295">
        <v>1234</v>
      </c>
      <c r="O439" s="296" t="s">
        <v>673</v>
      </c>
      <c r="P439" s="295">
        <v>0</v>
      </c>
      <c r="Q439" s="295">
        <v>0</v>
      </c>
      <c r="R439" s="295">
        <v>0</v>
      </c>
      <c r="S439" s="295">
        <v>1294</v>
      </c>
      <c r="T439" s="295">
        <v>1294</v>
      </c>
      <c r="U439" s="295">
        <v>30</v>
      </c>
      <c r="V439" s="295">
        <v>10</v>
      </c>
      <c r="W439" s="295">
        <v>5.5</v>
      </c>
      <c r="X439" s="295">
        <v>5</v>
      </c>
      <c r="Y439" s="295">
        <v>18</v>
      </c>
      <c r="Z439" s="295">
        <v>0</v>
      </c>
      <c r="AA439" s="295">
        <v>0</v>
      </c>
      <c r="AB439" s="295">
        <v>0</v>
      </c>
      <c r="AC439" s="295">
        <v>0</v>
      </c>
      <c r="AD439" s="295">
        <v>0</v>
      </c>
      <c r="AE439" s="295">
        <v>0</v>
      </c>
      <c r="AF439" s="295">
        <v>0</v>
      </c>
      <c r="AG439" s="295">
        <v>0</v>
      </c>
      <c r="AH439" s="295">
        <v>1362.5</v>
      </c>
      <c r="AI439" s="362"/>
    </row>
    <row r="440" spans="1:35">
      <c r="A440" s="291">
        <v>21387</v>
      </c>
      <c r="B440" s="291">
        <v>43162</v>
      </c>
      <c r="C440" s="292" t="s">
        <v>1561</v>
      </c>
      <c r="D440" s="293" t="s">
        <v>281</v>
      </c>
      <c r="E440" s="293" t="str">
        <f t="shared" si="6"/>
        <v>G</v>
      </c>
      <c r="F440" s="293" t="s">
        <v>126</v>
      </c>
      <c r="G440" s="294">
        <v>700</v>
      </c>
      <c r="H440" s="292" t="s">
        <v>97</v>
      </c>
      <c r="I440" s="292" t="s">
        <v>1562</v>
      </c>
      <c r="J440" s="293" t="s">
        <v>1272</v>
      </c>
      <c r="K440" s="293"/>
      <c r="L440" s="293" t="s">
        <v>2080</v>
      </c>
      <c r="M440" s="293" t="s">
        <v>1957</v>
      </c>
      <c r="N440" s="295">
        <v>1304</v>
      </c>
      <c r="O440" s="296" t="s">
        <v>673</v>
      </c>
      <c r="P440" s="295">
        <v>0</v>
      </c>
      <c r="Q440" s="295">
        <v>0</v>
      </c>
      <c r="R440" s="295">
        <v>-1473.71</v>
      </c>
      <c r="S440" s="295">
        <v>1299</v>
      </c>
      <c r="T440" s="295">
        <v>1299</v>
      </c>
      <c r="U440" s="295">
        <v>30</v>
      </c>
      <c r="V440" s="295">
        <v>10</v>
      </c>
      <c r="W440" s="295">
        <v>5.5</v>
      </c>
      <c r="X440" s="295">
        <v>5</v>
      </c>
      <c r="Y440" s="295">
        <v>18</v>
      </c>
      <c r="Z440" s="295">
        <v>0</v>
      </c>
      <c r="AA440" s="295">
        <v>70</v>
      </c>
      <c r="AB440" s="295">
        <v>0</v>
      </c>
      <c r="AC440" s="295">
        <v>0</v>
      </c>
      <c r="AD440" s="295">
        <v>0</v>
      </c>
      <c r="AE440" s="295">
        <v>0</v>
      </c>
      <c r="AF440" s="295">
        <v>0</v>
      </c>
      <c r="AG440" s="295">
        <v>0</v>
      </c>
      <c r="AH440" s="295">
        <v>1437.5</v>
      </c>
      <c r="AI440" s="362"/>
    </row>
    <row r="441" spans="1:35">
      <c r="A441" s="291">
        <v>21421</v>
      </c>
      <c r="B441" s="291">
        <v>42618</v>
      </c>
      <c r="C441" s="292" t="s">
        <v>1563</v>
      </c>
      <c r="D441" s="293" t="s">
        <v>164</v>
      </c>
      <c r="E441" s="293" t="str">
        <f t="shared" si="6"/>
        <v>F</v>
      </c>
      <c r="F441" s="293" t="s">
        <v>126</v>
      </c>
      <c r="G441" s="294">
        <v>700</v>
      </c>
      <c r="H441" s="292" t="s">
        <v>97</v>
      </c>
      <c r="I441" s="292" t="s">
        <v>1564</v>
      </c>
      <c r="J441" s="293" t="s">
        <v>1565</v>
      </c>
      <c r="K441" s="293"/>
      <c r="L441" s="293" t="s">
        <v>817</v>
      </c>
      <c r="M441" s="293" t="s">
        <v>818</v>
      </c>
      <c r="N441" s="295">
        <v>1234</v>
      </c>
      <c r="O441" s="296" t="s">
        <v>673</v>
      </c>
      <c r="P441" s="295">
        <v>0</v>
      </c>
      <c r="Q441" s="295">
        <v>0</v>
      </c>
      <c r="R441" s="295">
        <v>-0.01</v>
      </c>
      <c r="S441" s="295">
        <v>1209</v>
      </c>
      <c r="T441" s="295">
        <v>1209</v>
      </c>
      <c r="U441" s="295">
        <v>30</v>
      </c>
      <c r="V441" s="295">
        <v>10</v>
      </c>
      <c r="W441" s="295">
        <v>5.5</v>
      </c>
      <c r="X441" s="295">
        <v>5</v>
      </c>
      <c r="Y441" s="295">
        <v>18</v>
      </c>
      <c r="Z441" s="295">
        <v>0</v>
      </c>
      <c r="AA441" s="295">
        <v>0</v>
      </c>
      <c r="AB441" s="295">
        <v>0</v>
      </c>
      <c r="AC441" s="295">
        <v>0</v>
      </c>
      <c r="AD441" s="295">
        <v>0</v>
      </c>
      <c r="AE441" s="295">
        <v>0</v>
      </c>
      <c r="AF441" s="295">
        <v>0</v>
      </c>
      <c r="AG441" s="295">
        <v>0</v>
      </c>
      <c r="AH441" s="295">
        <v>1277.5</v>
      </c>
      <c r="AI441" s="362"/>
    </row>
    <row r="442" spans="1:35">
      <c r="A442" s="291">
        <v>31826</v>
      </c>
      <c r="B442" s="291">
        <v>43213</v>
      </c>
      <c r="C442" s="292" t="s">
        <v>1566</v>
      </c>
      <c r="D442" s="293" t="s">
        <v>281</v>
      </c>
      <c r="E442" s="293" t="str">
        <f t="shared" si="6"/>
        <v>G</v>
      </c>
      <c r="F442" s="293" t="s">
        <v>126</v>
      </c>
      <c r="G442" s="294">
        <v>700</v>
      </c>
      <c r="H442" s="292" t="s">
        <v>97</v>
      </c>
      <c r="I442" s="292" t="s">
        <v>1567</v>
      </c>
      <c r="J442" s="293" t="s">
        <v>716</v>
      </c>
      <c r="K442" s="293"/>
      <c r="L442" s="293" t="s">
        <v>2201</v>
      </c>
      <c r="M442" s="293" t="s">
        <v>1957</v>
      </c>
      <c r="N442" s="295">
        <v>1304</v>
      </c>
      <c r="O442" s="296" t="s">
        <v>673</v>
      </c>
      <c r="P442" s="295">
        <v>0</v>
      </c>
      <c r="Q442" s="295">
        <v>0</v>
      </c>
      <c r="R442" s="295">
        <v>0</v>
      </c>
      <c r="S442" s="295">
        <v>1329</v>
      </c>
      <c r="T442" s="295">
        <v>1329</v>
      </c>
      <c r="U442" s="295">
        <v>30</v>
      </c>
      <c r="V442" s="295">
        <v>10</v>
      </c>
      <c r="W442" s="295">
        <v>5.5</v>
      </c>
      <c r="X442" s="295">
        <v>5</v>
      </c>
      <c r="Y442" s="295">
        <v>18</v>
      </c>
      <c r="Z442" s="295">
        <v>0</v>
      </c>
      <c r="AA442" s="295">
        <v>70</v>
      </c>
      <c r="AB442" s="295">
        <v>0</v>
      </c>
      <c r="AC442" s="295">
        <v>0</v>
      </c>
      <c r="AD442" s="295">
        <v>0</v>
      </c>
      <c r="AE442" s="295">
        <v>0</v>
      </c>
      <c r="AF442" s="295">
        <v>0</v>
      </c>
      <c r="AG442" s="295">
        <v>0</v>
      </c>
      <c r="AH442" s="295">
        <v>1467.5</v>
      </c>
      <c r="AI442" s="362"/>
    </row>
    <row r="443" spans="1:35">
      <c r="A443" s="291">
        <v>32072</v>
      </c>
      <c r="B443" s="291">
        <v>43100</v>
      </c>
      <c r="C443" s="292" t="s">
        <v>1569</v>
      </c>
      <c r="D443" s="293" t="s">
        <v>171</v>
      </c>
      <c r="E443" s="293" t="str">
        <f t="shared" si="6"/>
        <v>F</v>
      </c>
      <c r="F443" s="293" t="s">
        <v>126</v>
      </c>
      <c r="G443" s="294">
        <v>825</v>
      </c>
      <c r="H443" s="292" t="s">
        <v>97</v>
      </c>
      <c r="I443" s="292" t="s">
        <v>2034</v>
      </c>
      <c r="J443" s="293" t="s">
        <v>1967</v>
      </c>
      <c r="K443" s="293"/>
      <c r="L443" s="293" t="s">
        <v>1967</v>
      </c>
      <c r="M443" s="293" t="s">
        <v>2035</v>
      </c>
      <c r="N443" s="295">
        <v>1294</v>
      </c>
      <c r="O443" s="296" t="s">
        <v>673</v>
      </c>
      <c r="P443" s="295">
        <v>0</v>
      </c>
      <c r="Q443" s="295">
        <v>0</v>
      </c>
      <c r="R443" s="295">
        <v>42.47</v>
      </c>
      <c r="S443" s="295">
        <v>1044</v>
      </c>
      <c r="T443" s="295">
        <v>1044</v>
      </c>
      <c r="U443" s="295">
        <v>30</v>
      </c>
      <c r="V443" s="295">
        <v>10</v>
      </c>
      <c r="W443" s="295">
        <v>5</v>
      </c>
      <c r="X443" s="295">
        <v>5</v>
      </c>
      <c r="Y443" s="295">
        <v>18</v>
      </c>
      <c r="Z443" s="295">
        <v>15</v>
      </c>
      <c r="AA443" s="295">
        <v>70</v>
      </c>
      <c r="AB443" s="295">
        <v>0</v>
      </c>
      <c r="AC443" s="295">
        <v>0</v>
      </c>
      <c r="AD443" s="295">
        <v>0</v>
      </c>
      <c r="AE443" s="295">
        <v>0</v>
      </c>
      <c r="AF443" s="295">
        <v>0</v>
      </c>
      <c r="AG443" s="295">
        <v>0</v>
      </c>
      <c r="AH443" s="295">
        <v>1197</v>
      </c>
      <c r="AI443" s="362"/>
    </row>
    <row r="444" spans="1:35">
      <c r="A444" s="291">
        <v>16</v>
      </c>
      <c r="B444" s="291">
        <v>42785</v>
      </c>
      <c r="C444" s="292" t="s">
        <v>1570</v>
      </c>
      <c r="D444" s="293" t="s">
        <v>169</v>
      </c>
      <c r="E444" s="293" t="str">
        <f t="shared" si="6"/>
        <v>3</v>
      </c>
      <c r="F444" s="293" t="s">
        <v>126</v>
      </c>
      <c r="G444" s="294">
        <v>825</v>
      </c>
      <c r="H444" s="292" t="s">
        <v>97</v>
      </c>
      <c r="I444" s="292" t="s">
        <v>1571</v>
      </c>
      <c r="J444" s="293" t="s">
        <v>1572</v>
      </c>
      <c r="K444" s="293"/>
      <c r="L444" s="293" t="s">
        <v>1251</v>
      </c>
      <c r="M444" s="293" t="s">
        <v>1883</v>
      </c>
      <c r="N444" s="295">
        <v>1394</v>
      </c>
      <c r="O444" s="296" t="s">
        <v>673</v>
      </c>
      <c r="P444" s="295">
        <v>12</v>
      </c>
      <c r="Q444" s="295">
        <v>12</v>
      </c>
      <c r="R444" s="295">
        <v>0</v>
      </c>
      <c r="S444" s="295">
        <v>1484</v>
      </c>
      <c r="T444" s="295">
        <v>1484</v>
      </c>
      <c r="U444" s="295">
        <v>30</v>
      </c>
      <c r="V444" s="295">
        <v>10</v>
      </c>
      <c r="W444" s="295">
        <v>5.5</v>
      </c>
      <c r="X444" s="295">
        <v>5</v>
      </c>
      <c r="Y444" s="295">
        <v>18</v>
      </c>
      <c r="Z444" s="295">
        <v>0</v>
      </c>
      <c r="AA444" s="295">
        <v>70</v>
      </c>
      <c r="AB444" s="295">
        <v>0</v>
      </c>
      <c r="AC444" s="295">
        <v>0</v>
      </c>
      <c r="AD444" s="295">
        <v>0</v>
      </c>
      <c r="AE444" s="295">
        <v>0</v>
      </c>
      <c r="AF444" s="295">
        <v>0</v>
      </c>
      <c r="AG444" s="295">
        <v>0</v>
      </c>
      <c r="AH444" s="295">
        <v>1622.5</v>
      </c>
      <c r="AI444" s="362"/>
    </row>
    <row r="445" spans="1:35">
      <c r="A445" s="291">
        <v>46</v>
      </c>
      <c r="B445" s="291">
        <v>43037</v>
      </c>
      <c r="C445" s="292" t="s">
        <v>1573</v>
      </c>
      <c r="D445" s="293" t="s">
        <v>169</v>
      </c>
      <c r="E445" s="293" t="str">
        <f t="shared" si="6"/>
        <v>3</v>
      </c>
      <c r="F445" s="293" t="s">
        <v>126</v>
      </c>
      <c r="G445" s="294">
        <v>825</v>
      </c>
      <c r="H445" s="292" t="s">
        <v>97</v>
      </c>
      <c r="I445" s="292" t="s">
        <v>1574</v>
      </c>
      <c r="J445" s="293" t="s">
        <v>1575</v>
      </c>
      <c r="K445" s="293"/>
      <c r="L445" s="293" t="s">
        <v>2036</v>
      </c>
      <c r="M445" s="293" t="s">
        <v>2037</v>
      </c>
      <c r="N445" s="295">
        <v>1394</v>
      </c>
      <c r="O445" s="296" t="s">
        <v>673</v>
      </c>
      <c r="P445" s="295">
        <v>0</v>
      </c>
      <c r="Q445" s="295">
        <v>0</v>
      </c>
      <c r="R445" s="295">
        <v>0</v>
      </c>
      <c r="S445" s="295">
        <v>1399</v>
      </c>
      <c r="T445" s="295">
        <v>1399</v>
      </c>
      <c r="U445" s="295">
        <v>30</v>
      </c>
      <c r="V445" s="295">
        <v>10</v>
      </c>
      <c r="W445" s="295">
        <v>5.5</v>
      </c>
      <c r="X445" s="295">
        <v>5</v>
      </c>
      <c r="Y445" s="295">
        <v>18</v>
      </c>
      <c r="Z445" s="295">
        <v>0</v>
      </c>
      <c r="AA445" s="295">
        <v>70</v>
      </c>
      <c r="AB445" s="295">
        <v>0</v>
      </c>
      <c r="AC445" s="295">
        <v>0</v>
      </c>
      <c r="AD445" s="295">
        <v>0</v>
      </c>
      <c r="AE445" s="295">
        <v>0</v>
      </c>
      <c r="AF445" s="295">
        <v>0</v>
      </c>
      <c r="AG445" s="295">
        <v>0</v>
      </c>
      <c r="AH445" s="295">
        <v>1537.5</v>
      </c>
      <c r="AI445" s="362"/>
    </row>
    <row r="446" spans="1:35">
      <c r="A446" s="291">
        <v>0</v>
      </c>
      <c r="B446" s="291">
        <v>0</v>
      </c>
      <c r="C446" s="292" t="s">
        <v>1576</v>
      </c>
      <c r="D446" s="293" t="s">
        <v>691</v>
      </c>
      <c r="E446" s="293" t="str">
        <f t="shared" si="6"/>
        <v>G</v>
      </c>
      <c r="F446" s="293" t="s">
        <v>126</v>
      </c>
      <c r="G446" s="294">
        <v>825</v>
      </c>
      <c r="H446" s="292" t="s">
        <v>101</v>
      </c>
      <c r="I446" s="292" t="s">
        <v>682</v>
      </c>
      <c r="J446" s="293"/>
      <c r="K446" s="293"/>
      <c r="L446" s="293"/>
      <c r="M446" s="293"/>
      <c r="N446" s="295">
        <v>1364</v>
      </c>
      <c r="O446" s="296"/>
      <c r="P446" s="295">
        <v>0</v>
      </c>
      <c r="Q446" s="295">
        <v>0</v>
      </c>
      <c r="R446" s="295">
        <v>0</v>
      </c>
      <c r="S446" s="295">
        <v>0</v>
      </c>
      <c r="T446" s="295">
        <v>0</v>
      </c>
      <c r="U446" s="295">
        <v>0</v>
      </c>
      <c r="V446" s="295">
        <v>0</v>
      </c>
      <c r="W446" s="295">
        <v>0</v>
      </c>
      <c r="X446" s="295">
        <v>0</v>
      </c>
      <c r="Y446" s="295">
        <v>0</v>
      </c>
      <c r="Z446" s="295">
        <v>0</v>
      </c>
      <c r="AA446" s="295">
        <v>0</v>
      </c>
      <c r="AB446" s="295">
        <v>0</v>
      </c>
      <c r="AC446" s="295">
        <v>0</v>
      </c>
      <c r="AD446" s="295">
        <v>0</v>
      </c>
      <c r="AE446" s="295">
        <v>0</v>
      </c>
      <c r="AF446" s="295">
        <v>0</v>
      </c>
      <c r="AG446" s="295">
        <v>0</v>
      </c>
      <c r="AH446" s="295">
        <v>0</v>
      </c>
      <c r="AI446" s="362"/>
    </row>
    <row r="447" spans="1:35">
      <c r="A447" s="291">
        <v>11351</v>
      </c>
      <c r="B447" s="291">
        <v>42522</v>
      </c>
      <c r="C447" s="292" t="s">
        <v>1577</v>
      </c>
      <c r="D447" s="293" t="s">
        <v>180</v>
      </c>
      <c r="E447" s="293" t="str">
        <f t="shared" si="6"/>
        <v>Q</v>
      </c>
      <c r="F447" s="293" t="s">
        <v>126</v>
      </c>
      <c r="G447" s="294">
        <v>825</v>
      </c>
      <c r="H447" s="292" t="s">
        <v>97</v>
      </c>
      <c r="I447" s="292" t="s">
        <v>1578</v>
      </c>
      <c r="J447" s="293" t="s">
        <v>1292</v>
      </c>
      <c r="K447" s="293"/>
      <c r="L447" s="293" t="s">
        <v>467</v>
      </c>
      <c r="M447" s="293" t="s">
        <v>1245</v>
      </c>
      <c r="N447" s="295">
        <v>1404</v>
      </c>
      <c r="O447" s="296" t="s">
        <v>673</v>
      </c>
      <c r="P447" s="295">
        <v>0</v>
      </c>
      <c r="Q447" s="295">
        <v>0</v>
      </c>
      <c r="R447" s="295">
        <v>-250</v>
      </c>
      <c r="S447" s="295">
        <v>1374</v>
      </c>
      <c r="T447" s="295">
        <v>1374</v>
      </c>
      <c r="U447" s="295">
        <v>30</v>
      </c>
      <c r="V447" s="295">
        <v>10</v>
      </c>
      <c r="W447" s="295">
        <v>5.5</v>
      </c>
      <c r="X447" s="295">
        <v>5</v>
      </c>
      <c r="Y447" s="295">
        <v>18</v>
      </c>
      <c r="Z447" s="295">
        <v>0</v>
      </c>
      <c r="AA447" s="295">
        <v>70</v>
      </c>
      <c r="AB447" s="295">
        <v>0</v>
      </c>
      <c r="AC447" s="295">
        <v>0</v>
      </c>
      <c r="AD447" s="295">
        <v>250</v>
      </c>
      <c r="AE447" s="295">
        <v>0</v>
      </c>
      <c r="AF447" s="295">
        <v>0</v>
      </c>
      <c r="AG447" s="295">
        <v>0</v>
      </c>
      <c r="AH447" s="295">
        <v>1762.5</v>
      </c>
      <c r="AI447" s="362"/>
    </row>
    <row r="448" spans="1:35">
      <c r="A448" s="291">
        <v>32154</v>
      </c>
      <c r="B448" s="291">
        <v>43250</v>
      </c>
      <c r="C448" s="292" t="s">
        <v>1579</v>
      </c>
      <c r="D448" s="293" t="s">
        <v>180</v>
      </c>
      <c r="E448" s="293" t="str">
        <f t="shared" si="6"/>
        <v>Q</v>
      </c>
      <c r="F448" s="293" t="s">
        <v>126</v>
      </c>
      <c r="G448" s="294">
        <v>825</v>
      </c>
      <c r="H448" s="292" t="s">
        <v>97</v>
      </c>
      <c r="I448" s="292" t="s">
        <v>2202</v>
      </c>
      <c r="J448" s="293" t="s">
        <v>1423</v>
      </c>
      <c r="K448" s="293"/>
      <c r="L448" s="293" t="s">
        <v>1423</v>
      </c>
      <c r="M448" s="293" t="s">
        <v>2197</v>
      </c>
      <c r="N448" s="295">
        <v>1324</v>
      </c>
      <c r="O448" s="296" t="s">
        <v>673</v>
      </c>
      <c r="P448" s="295">
        <v>0</v>
      </c>
      <c r="Q448" s="295">
        <v>0</v>
      </c>
      <c r="R448" s="295">
        <v>0</v>
      </c>
      <c r="S448" s="295">
        <v>1324</v>
      </c>
      <c r="T448" s="295">
        <v>1324</v>
      </c>
      <c r="U448" s="295">
        <v>30</v>
      </c>
      <c r="V448" s="295">
        <v>10</v>
      </c>
      <c r="W448" s="295">
        <v>5.5</v>
      </c>
      <c r="X448" s="295">
        <v>5</v>
      </c>
      <c r="Y448" s="295">
        <v>18</v>
      </c>
      <c r="Z448" s="295">
        <v>0</v>
      </c>
      <c r="AA448" s="295">
        <v>70</v>
      </c>
      <c r="AB448" s="295">
        <v>35</v>
      </c>
      <c r="AC448" s="295">
        <v>0</v>
      </c>
      <c r="AD448" s="295">
        <v>0</v>
      </c>
      <c r="AE448" s="295">
        <v>0</v>
      </c>
      <c r="AF448" s="295">
        <v>0</v>
      </c>
      <c r="AG448" s="295">
        <v>0</v>
      </c>
      <c r="AH448" s="295">
        <v>1497.5</v>
      </c>
      <c r="AI448" s="362"/>
    </row>
    <row r="449" spans="1:35">
      <c r="A449" s="291">
        <v>11165</v>
      </c>
      <c r="B449" s="291">
        <v>42890</v>
      </c>
      <c r="C449" s="292" t="s">
        <v>1580</v>
      </c>
      <c r="D449" s="293" t="s">
        <v>691</v>
      </c>
      <c r="E449" s="293" t="str">
        <f t="shared" si="6"/>
        <v>G</v>
      </c>
      <c r="F449" s="293" t="s">
        <v>126</v>
      </c>
      <c r="G449" s="294">
        <v>825</v>
      </c>
      <c r="H449" s="292" t="s">
        <v>97</v>
      </c>
      <c r="I449" s="292" t="s">
        <v>1581</v>
      </c>
      <c r="J449" s="293" t="s">
        <v>1582</v>
      </c>
      <c r="K449" s="293"/>
      <c r="L449" s="293" t="s">
        <v>1899</v>
      </c>
      <c r="M449" s="293" t="s">
        <v>1833</v>
      </c>
      <c r="N449" s="295">
        <v>1364</v>
      </c>
      <c r="O449" s="296" t="s">
        <v>673</v>
      </c>
      <c r="P449" s="295">
        <v>0</v>
      </c>
      <c r="Q449" s="295">
        <v>0</v>
      </c>
      <c r="R449" s="295">
        <v>0</v>
      </c>
      <c r="S449" s="295">
        <v>1434</v>
      </c>
      <c r="T449" s="295">
        <v>1434</v>
      </c>
      <c r="U449" s="295">
        <v>30</v>
      </c>
      <c r="V449" s="295">
        <v>10</v>
      </c>
      <c r="W449" s="295">
        <v>5.5</v>
      </c>
      <c r="X449" s="295">
        <v>5</v>
      </c>
      <c r="Y449" s="295">
        <v>18</v>
      </c>
      <c r="Z449" s="295">
        <v>15</v>
      </c>
      <c r="AA449" s="295">
        <v>70</v>
      </c>
      <c r="AB449" s="295">
        <v>0</v>
      </c>
      <c r="AC449" s="295">
        <v>0</v>
      </c>
      <c r="AD449" s="295">
        <v>0</v>
      </c>
      <c r="AE449" s="295">
        <v>0</v>
      </c>
      <c r="AF449" s="295">
        <v>0</v>
      </c>
      <c r="AG449" s="295">
        <v>0</v>
      </c>
      <c r="AH449" s="295">
        <v>1587.5</v>
      </c>
      <c r="AI449" s="362"/>
    </row>
    <row r="450" spans="1:35">
      <c r="A450" s="291">
        <v>365</v>
      </c>
      <c r="B450" s="291">
        <v>43093</v>
      </c>
      <c r="C450" s="292" t="s">
        <v>1583</v>
      </c>
      <c r="D450" s="293" t="s">
        <v>169</v>
      </c>
      <c r="E450" s="293" t="str">
        <f t="shared" si="6"/>
        <v>3</v>
      </c>
      <c r="F450" s="293" t="s">
        <v>126</v>
      </c>
      <c r="G450" s="294">
        <v>825</v>
      </c>
      <c r="H450" s="292" t="s">
        <v>97</v>
      </c>
      <c r="I450" s="292" t="s">
        <v>1584</v>
      </c>
      <c r="J450" s="293" t="s">
        <v>1585</v>
      </c>
      <c r="K450" s="293"/>
      <c r="L450" s="293" t="s">
        <v>2203</v>
      </c>
      <c r="M450" s="293" t="s">
        <v>2081</v>
      </c>
      <c r="N450" s="295">
        <v>1394</v>
      </c>
      <c r="O450" s="296" t="s">
        <v>673</v>
      </c>
      <c r="P450" s="295">
        <v>500</v>
      </c>
      <c r="Q450" s="295">
        <v>500</v>
      </c>
      <c r="R450" s="295">
        <v>-1467.5</v>
      </c>
      <c r="S450" s="295">
        <v>1329</v>
      </c>
      <c r="T450" s="295">
        <v>1329</v>
      </c>
      <c r="U450" s="295">
        <v>30</v>
      </c>
      <c r="V450" s="295">
        <v>10</v>
      </c>
      <c r="W450" s="295">
        <v>5.5</v>
      </c>
      <c r="X450" s="295">
        <v>5</v>
      </c>
      <c r="Y450" s="295">
        <v>18</v>
      </c>
      <c r="Z450" s="295">
        <v>0</v>
      </c>
      <c r="AA450" s="295">
        <v>70</v>
      </c>
      <c r="AB450" s="295">
        <v>0</v>
      </c>
      <c r="AC450" s="295">
        <v>0</v>
      </c>
      <c r="AD450" s="295">
        <v>0</v>
      </c>
      <c r="AE450" s="295">
        <v>0</v>
      </c>
      <c r="AF450" s="295">
        <v>0</v>
      </c>
      <c r="AG450" s="295">
        <v>0</v>
      </c>
      <c r="AH450" s="295">
        <v>1467.5</v>
      </c>
      <c r="AI450" s="362"/>
    </row>
    <row r="451" spans="1:35">
      <c r="A451" s="291">
        <v>31613</v>
      </c>
      <c r="B451" s="291">
        <v>42790</v>
      </c>
      <c r="C451" s="292" t="s">
        <v>1586</v>
      </c>
      <c r="D451" s="293" t="s">
        <v>129</v>
      </c>
      <c r="E451" s="293" t="str">
        <f t="shared" si="6"/>
        <v>F</v>
      </c>
      <c r="F451" s="293" t="s">
        <v>126</v>
      </c>
      <c r="G451" s="294">
        <v>600</v>
      </c>
      <c r="H451" s="292" t="s">
        <v>97</v>
      </c>
      <c r="I451" s="292" t="s">
        <v>1587</v>
      </c>
      <c r="J451" s="293" t="s">
        <v>1588</v>
      </c>
      <c r="K451" s="293"/>
      <c r="L451" s="293" t="s">
        <v>1693</v>
      </c>
      <c r="M451" s="293" t="s">
        <v>1850</v>
      </c>
      <c r="N451" s="295">
        <v>1169</v>
      </c>
      <c r="O451" s="296" t="s">
        <v>673</v>
      </c>
      <c r="P451" s="295">
        <v>0</v>
      </c>
      <c r="Q451" s="295">
        <v>0</v>
      </c>
      <c r="R451" s="295">
        <v>0</v>
      </c>
      <c r="S451" s="295">
        <v>1229</v>
      </c>
      <c r="T451" s="295">
        <v>1229</v>
      </c>
      <c r="U451" s="295">
        <v>30</v>
      </c>
      <c r="V451" s="295">
        <v>10</v>
      </c>
      <c r="W451" s="295">
        <v>5.5</v>
      </c>
      <c r="X451" s="295">
        <v>5</v>
      </c>
      <c r="Y451" s="295">
        <v>18</v>
      </c>
      <c r="Z451" s="295">
        <v>15</v>
      </c>
      <c r="AA451" s="295">
        <v>70</v>
      </c>
      <c r="AB451" s="295">
        <v>0</v>
      </c>
      <c r="AC451" s="295">
        <v>0</v>
      </c>
      <c r="AD451" s="295">
        <v>0</v>
      </c>
      <c r="AE451" s="295">
        <v>0</v>
      </c>
      <c r="AF451" s="295">
        <v>0</v>
      </c>
      <c r="AG451" s="295">
        <v>0</v>
      </c>
      <c r="AH451" s="295">
        <v>1382.5</v>
      </c>
      <c r="AI451" s="362"/>
    </row>
    <row r="452" spans="1:35">
      <c r="A452" s="291">
        <v>552</v>
      </c>
      <c r="B452" s="291">
        <v>42983</v>
      </c>
      <c r="C452" s="292" t="s">
        <v>1589</v>
      </c>
      <c r="D452" s="293" t="s">
        <v>139</v>
      </c>
      <c r="E452" s="293" t="str">
        <f t="shared" si="6"/>
        <v>Q</v>
      </c>
      <c r="F452" s="293" t="s">
        <v>126</v>
      </c>
      <c r="G452" s="294">
        <v>600</v>
      </c>
      <c r="H452" s="292" t="s">
        <v>97</v>
      </c>
      <c r="I452" s="292" t="s">
        <v>1590</v>
      </c>
      <c r="J452" s="293" t="s">
        <v>1591</v>
      </c>
      <c r="K452" s="293"/>
      <c r="L452" s="293" t="s">
        <v>1226</v>
      </c>
      <c r="M452" s="293" t="s">
        <v>1937</v>
      </c>
      <c r="N452" s="295">
        <v>1279</v>
      </c>
      <c r="O452" s="296" t="s">
        <v>673</v>
      </c>
      <c r="P452" s="295">
        <v>0</v>
      </c>
      <c r="Q452" s="295">
        <v>0</v>
      </c>
      <c r="R452" s="295">
        <v>0</v>
      </c>
      <c r="S452" s="295">
        <v>1394</v>
      </c>
      <c r="T452" s="295">
        <v>1394</v>
      </c>
      <c r="U452" s="295">
        <v>30</v>
      </c>
      <c r="V452" s="295">
        <v>10</v>
      </c>
      <c r="W452" s="295">
        <v>5.5</v>
      </c>
      <c r="X452" s="295">
        <v>5</v>
      </c>
      <c r="Y452" s="295">
        <v>18</v>
      </c>
      <c r="Z452" s="295">
        <v>0</v>
      </c>
      <c r="AA452" s="295">
        <v>70</v>
      </c>
      <c r="AB452" s="295">
        <v>0</v>
      </c>
      <c r="AC452" s="295">
        <v>0</v>
      </c>
      <c r="AD452" s="295">
        <v>0</v>
      </c>
      <c r="AE452" s="295">
        <v>0</v>
      </c>
      <c r="AF452" s="295">
        <v>0</v>
      </c>
      <c r="AG452" s="295">
        <v>0</v>
      </c>
      <c r="AH452" s="295">
        <v>1532.5</v>
      </c>
      <c r="AI452" s="362"/>
    </row>
    <row r="453" spans="1:35">
      <c r="A453" s="291">
        <v>31862</v>
      </c>
      <c r="B453" s="291">
        <v>42678</v>
      </c>
      <c r="C453" s="292" t="s">
        <v>1592</v>
      </c>
      <c r="D453" s="293" t="s">
        <v>139</v>
      </c>
      <c r="E453" s="293" t="str">
        <f t="shared" si="6"/>
        <v>Q</v>
      </c>
      <c r="F453" s="293" t="s">
        <v>126</v>
      </c>
      <c r="G453" s="294">
        <v>600</v>
      </c>
      <c r="H453" s="292" t="s">
        <v>97</v>
      </c>
      <c r="I453" s="292" t="s">
        <v>1593</v>
      </c>
      <c r="J453" s="293" t="s">
        <v>1033</v>
      </c>
      <c r="K453" s="293"/>
      <c r="L453" s="293" t="s">
        <v>1033</v>
      </c>
      <c r="M453" s="293" t="s">
        <v>480</v>
      </c>
      <c r="N453" s="295">
        <v>1279</v>
      </c>
      <c r="O453" s="296" t="s">
        <v>673</v>
      </c>
      <c r="P453" s="295">
        <v>0</v>
      </c>
      <c r="Q453" s="295">
        <v>0</v>
      </c>
      <c r="R453" s="295">
        <v>0</v>
      </c>
      <c r="S453" s="295">
        <v>1309</v>
      </c>
      <c r="T453" s="295">
        <v>1309</v>
      </c>
      <c r="U453" s="295">
        <v>30</v>
      </c>
      <c r="V453" s="295">
        <v>10</v>
      </c>
      <c r="W453" s="295">
        <v>5.5</v>
      </c>
      <c r="X453" s="295">
        <v>5</v>
      </c>
      <c r="Y453" s="295">
        <v>18</v>
      </c>
      <c r="Z453" s="295">
        <v>15</v>
      </c>
      <c r="AA453" s="295">
        <v>0</v>
      </c>
      <c r="AB453" s="295">
        <v>0</v>
      </c>
      <c r="AC453" s="295">
        <v>0</v>
      </c>
      <c r="AD453" s="295">
        <v>0</v>
      </c>
      <c r="AE453" s="295">
        <v>0</v>
      </c>
      <c r="AF453" s="295">
        <v>0</v>
      </c>
      <c r="AG453" s="295">
        <v>0</v>
      </c>
      <c r="AH453" s="295">
        <v>1392.5</v>
      </c>
      <c r="AI453" s="362"/>
    </row>
    <row r="454" spans="1:35">
      <c r="A454" s="291">
        <v>11075</v>
      </c>
      <c r="B454" s="291">
        <v>42634</v>
      </c>
      <c r="C454" s="292" t="s">
        <v>1594</v>
      </c>
      <c r="D454" s="293" t="s">
        <v>139</v>
      </c>
      <c r="E454" s="293" t="str">
        <f t="shared" si="6"/>
        <v>Q</v>
      </c>
      <c r="F454" s="293" t="s">
        <v>126</v>
      </c>
      <c r="G454" s="294">
        <v>600</v>
      </c>
      <c r="H454" s="292" t="s">
        <v>97</v>
      </c>
      <c r="I454" s="292" t="s">
        <v>1595</v>
      </c>
      <c r="J454" s="293" t="s">
        <v>1596</v>
      </c>
      <c r="K454" s="293"/>
      <c r="L454" s="293" t="s">
        <v>1597</v>
      </c>
      <c r="M454" s="293" t="s">
        <v>468</v>
      </c>
      <c r="N454" s="295">
        <v>1279</v>
      </c>
      <c r="O454" s="296" t="s">
        <v>673</v>
      </c>
      <c r="P454" s="295">
        <v>0</v>
      </c>
      <c r="Q454" s="295">
        <v>0</v>
      </c>
      <c r="R454" s="295">
        <v>0</v>
      </c>
      <c r="S454" s="295">
        <v>1340</v>
      </c>
      <c r="T454" s="295">
        <v>1340</v>
      </c>
      <c r="U454" s="295">
        <v>30</v>
      </c>
      <c r="V454" s="295">
        <v>10</v>
      </c>
      <c r="W454" s="295">
        <v>5.5</v>
      </c>
      <c r="X454" s="295">
        <v>5</v>
      </c>
      <c r="Y454" s="295">
        <v>18</v>
      </c>
      <c r="Z454" s="295">
        <v>15</v>
      </c>
      <c r="AA454" s="295">
        <v>0</v>
      </c>
      <c r="AB454" s="295">
        <v>0</v>
      </c>
      <c r="AC454" s="295">
        <v>0</v>
      </c>
      <c r="AD454" s="295">
        <v>0</v>
      </c>
      <c r="AE454" s="295">
        <v>0</v>
      </c>
      <c r="AF454" s="295">
        <v>0</v>
      </c>
      <c r="AG454" s="295">
        <v>0</v>
      </c>
      <c r="AH454" s="295">
        <v>1423.5</v>
      </c>
      <c r="AI454" s="362"/>
    </row>
    <row r="455" spans="1:35">
      <c r="A455" s="291">
        <v>11067</v>
      </c>
      <c r="B455" s="291">
        <v>42740</v>
      </c>
      <c r="C455" s="292" t="s">
        <v>1598</v>
      </c>
      <c r="D455" s="293" t="s">
        <v>139</v>
      </c>
      <c r="E455" s="293" t="str">
        <f t="shared" si="6"/>
        <v>Q</v>
      </c>
      <c r="F455" s="293" t="s">
        <v>126</v>
      </c>
      <c r="G455" s="294">
        <v>600</v>
      </c>
      <c r="H455" s="292" t="s">
        <v>97</v>
      </c>
      <c r="I455" s="292" t="s">
        <v>1599</v>
      </c>
      <c r="J455" s="293" t="s">
        <v>1600</v>
      </c>
      <c r="K455" s="293"/>
      <c r="L455" s="293" t="s">
        <v>363</v>
      </c>
      <c r="M455" s="293" t="s">
        <v>694</v>
      </c>
      <c r="N455" s="295">
        <v>1279</v>
      </c>
      <c r="O455" s="296" t="s">
        <v>673</v>
      </c>
      <c r="P455" s="295">
        <v>0</v>
      </c>
      <c r="Q455" s="295">
        <v>0</v>
      </c>
      <c r="R455" s="295">
        <v>45</v>
      </c>
      <c r="S455" s="295">
        <v>1340</v>
      </c>
      <c r="T455" s="295">
        <v>1340</v>
      </c>
      <c r="U455" s="295">
        <v>30</v>
      </c>
      <c r="V455" s="295">
        <v>10</v>
      </c>
      <c r="W455" s="295">
        <v>5.5</v>
      </c>
      <c r="X455" s="295">
        <v>5</v>
      </c>
      <c r="Y455" s="295">
        <v>18</v>
      </c>
      <c r="Z455" s="295">
        <v>0</v>
      </c>
      <c r="AA455" s="295">
        <v>0</v>
      </c>
      <c r="AB455" s="295">
        <v>0</v>
      </c>
      <c r="AC455" s="295">
        <v>0</v>
      </c>
      <c r="AD455" s="295">
        <v>0</v>
      </c>
      <c r="AE455" s="295">
        <v>0</v>
      </c>
      <c r="AF455" s="295">
        <v>0</v>
      </c>
      <c r="AG455" s="295">
        <v>0</v>
      </c>
      <c r="AH455" s="295">
        <v>1408.5</v>
      </c>
      <c r="AI455" s="362"/>
    </row>
    <row r="456" spans="1:35">
      <c r="A456" s="291">
        <v>67</v>
      </c>
      <c r="B456" s="291">
        <v>43001</v>
      </c>
      <c r="C456" s="292" t="s">
        <v>1601</v>
      </c>
      <c r="D456" s="293" t="s">
        <v>133</v>
      </c>
      <c r="E456" s="293" t="str">
        <f t="shared" ref="E456:E517" si="7">RIGHT(D456,1)</f>
        <v>1</v>
      </c>
      <c r="F456" s="293" t="s">
        <v>126</v>
      </c>
      <c r="G456" s="294">
        <v>600</v>
      </c>
      <c r="H456" s="292" t="s">
        <v>97</v>
      </c>
      <c r="I456" s="292" t="s">
        <v>1602</v>
      </c>
      <c r="J456" s="293" t="s">
        <v>1603</v>
      </c>
      <c r="K456" s="293"/>
      <c r="L456" s="293" t="s">
        <v>1389</v>
      </c>
      <c r="M456" s="293" t="s">
        <v>1978</v>
      </c>
      <c r="N456" s="295">
        <v>1269</v>
      </c>
      <c r="O456" s="296" t="s">
        <v>673</v>
      </c>
      <c r="P456" s="295">
        <v>0</v>
      </c>
      <c r="Q456" s="295">
        <v>0</v>
      </c>
      <c r="R456" s="295">
        <v>0</v>
      </c>
      <c r="S456" s="295">
        <v>1335</v>
      </c>
      <c r="T456" s="295">
        <v>1335</v>
      </c>
      <c r="U456" s="295">
        <v>30</v>
      </c>
      <c r="V456" s="295">
        <v>10</v>
      </c>
      <c r="W456" s="295">
        <v>5.5</v>
      </c>
      <c r="X456" s="295">
        <v>5</v>
      </c>
      <c r="Y456" s="295">
        <v>18</v>
      </c>
      <c r="Z456" s="295">
        <v>0</v>
      </c>
      <c r="AA456" s="295">
        <v>70</v>
      </c>
      <c r="AB456" s="295">
        <v>0</v>
      </c>
      <c r="AC456" s="295">
        <v>0</v>
      </c>
      <c r="AD456" s="295">
        <v>0</v>
      </c>
      <c r="AE456" s="295">
        <v>0</v>
      </c>
      <c r="AF456" s="295">
        <v>0</v>
      </c>
      <c r="AG456" s="295">
        <v>0</v>
      </c>
      <c r="AH456" s="295">
        <v>1473.5</v>
      </c>
      <c r="AI456" s="362"/>
    </row>
    <row r="457" spans="1:35">
      <c r="A457" s="291">
        <v>32012</v>
      </c>
      <c r="B457" s="291">
        <v>42969</v>
      </c>
      <c r="C457" s="292" t="s">
        <v>1604</v>
      </c>
      <c r="D457" s="293" t="s">
        <v>139</v>
      </c>
      <c r="E457" s="293" t="str">
        <f t="shared" si="7"/>
        <v>Q</v>
      </c>
      <c r="F457" s="293" t="s">
        <v>126</v>
      </c>
      <c r="G457" s="294">
        <v>600</v>
      </c>
      <c r="H457" s="292" t="s">
        <v>97</v>
      </c>
      <c r="I457" s="292" t="s">
        <v>1900</v>
      </c>
      <c r="J457" s="293" t="s">
        <v>402</v>
      </c>
      <c r="K457" s="293"/>
      <c r="L457" s="293" t="s">
        <v>402</v>
      </c>
      <c r="M457" s="293" t="s">
        <v>1840</v>
      </c>
      <c r="N457" s="295">
        <v>1279</v>
      </c>
      <c r="O457" s="296" t="s">
        <v>673</v>
      </c>
      <c r="P457" s="295">
        <v>0</v>
      </c>
      <c r="Q457" s="295">
        <v>0</v>
      </c>
      <c r="R457" s="295">
        <v>-1476.83</v>
      </c>
      <c r="S457" s="295">
        <v>1239</v>
      </c>
      <c r="T457" s="295">
        <v>1239</v>
      </c>
      <c r="U457" s="295">
        <v>30</v>
      </c>
      <c r="V457" s="295">
        <v>10</v>
      </c>
      <c r="W457" s="295">
        <v>5.5</v>
      </c>
      <c r="X457" s="295">
        <v>5</v>
      </c>
      <c r="Y457" s="295">
        <v>18</v>
      </c>
      <c r="Z457" s="295">
        <v>30</v>
      </c>
      <c r="AA457" s="295">
        <v>70</v>
      </c>
      <c r="AB457" s="295">
        <v>35</v>
      </c>
      <c r="AC457" s="295">
        <v>0</v>
      </c>
      <c r="AD457" s="295">
        <v>0</v>
      </c>
      <c r="AE457" s="295">
        <v>0</v>
      </c>
      <c r="AF457" s="295">
        <v>0</v>
      </c>
      <c r="AG457" s="295">
        <v>0</v>
      </c>
      <c r="AH457" s="295">
        <v>1442.5</v>
      </c>
      <c r="AI457" s="362"/>
    </row>
    <row r="458" spans="1:35">
      <c r="A458" s="291">
        <v>31874</v>
      </c>
      <c r="B458" s="291">
        <v>42701</v>
      </c>
      <c r="C458" s="292" t="s">
        <v>1606</v>
      </c>
      <c r="D458" s="293" t="s">
        <v>129</v>
      </c>
      <c r="E458" s="293" t="str">
        <f t="shared" si="7"/>
        <v>F</v>
      </c>
      <c r="F458" s="293" t="s">
        <v>126</v>
      </c>
      <c r="G458" s="294">
        <v>600</v>
      </c>
      <c r="H458" s="292" t="s">
        <v>97</v>
      </c>
      <c r="I458" s="292" t="s">
        <v>1607</v>
      </c>
      <c r="J458" s="293" t="s">
        <v>393</v>
      </c>
      <c r="K458" s="293"/>
      <c r="L458" s="293" t="s">
        <v>393</v>
      </c>
      <c r="M458" s="293" t="s">
        <v>916</v>
      </c>
      <c r="N458" s="295">
        <v>1169</v>
      </c>
      <c r="O458" s="296" t="s">
        <v>673</v>
      </c>
      <c r="P458" s="295">
        <v>0</v>
      </c>
      <c r="Q458" s="295">
        <v>0</v>
      </c>
      <c r="R458" s="295">
        <v>0</v>
      </c>
      <c r="S458" s="295">
        <v>1199</v>
      </c>
      <c r="T458" s="295">
        <v>1199</v>
      </c>
      <c r="U458" s="295">
        <v>30</v>
      </c>
      <c r="V458" s="295">
        <v>10</v>
      </c>
      <c r="W458" s="295">
        <v>5.5</v>
      </c>
      <c r="X458" s="295">
        <v>5</v>
      </c>
      <c r="Y458" s="295">
        <v>18</v>
      </c>
      <c r="Z458" s="295">
        <v>15</v>
      </c>
      <c r="AA458" s="295">
        <v>0</v>
      </c>
      <c r="AB458" s="295">
        <v>0</v>
      </c>
      <c r="AC458" s="295">
        <v>0</v>
      </c>
      <c r="AD458" s="295">
        <v>0</v>
      </c>
      <c r="AE458" s="295">
        <v>0</v>
      </c>
      <c r="AF458" s="295">
        <v>0</v>
      </c>
      <c r="AG458" s="295">
        <v>0</v>
      </c>
      <c r="AH458" s="295">
        <v>1282.5</v>
      </c>
      <c r="AI458" s="362"/>
    </row>
    <row r="459" spans="1:35">
      <c r="A459" s="291">
        <v>11180</v>
      </c>
      <c r="B459" s="291">
        <v>42911</v>
      </c>
      <c r="C459" s="292" t="s">
        <v>1608</v>
      </c>
      <c r="D459" s="293" t="s">
        <v>147</v>
      </c>
      <c r="E459" s="293" t="str">
        <f t="shared" si="7"/>
        <v>Q</v>
      </c>
      <c r="F459" s="293" t="s">
        <v>126</v>
      </c>
      <c r="G459" s="294">
        <v>1076</v>
      </c>
      <c r="H459" s="292" t="s">
        <v>97</v>
      </c>
      <c r="I459" s="292" t="s">
        <v>1609</v>
      </c>
      <c r="J459" s="293" t="s">
        <v>1610</v>
      </c>
      <c r="K459" s="293"/>
      <c r="L459" s="293" t="s">
        <v>1867</v>
      </c>
      <c r="M459" s="293" t="s">
        <v>1848</v>
      </c>
      <c r="N459" s="295">
        <v>1629</v>
      </c>
      <c r="O459" s="296" t="s">
        <v>673</v>
      </c>
      <c r="P459" s="295">
        <v>0</v>
      </c>
      <c r="Q459" s="295">
        <v>0</v>
      </c>
      <c r="R459" s="295">
        <v>0</v>
      </c>
      <c r="S459" s="295">
        <v>1699</v>
      </c>
      <c r="T459" s="295">
        <v>1699</v>
      </c>
      <c r="U459" s="295">
        <v>30</v>
      </c>
      <c r="V459" s="295">
        <v>10</v>
      </c>
      <c r="W459" s="295">
        <v>5.5</v>
      </c>
      <c r="X459" s="295">
        <v>5</v>
      </c>
      <c r="Y459" s="295">
        <v>18</v>
      </c>
      <c r="Z459" s="295">
        <v>15</v>
      </c>
      <c r="AA459" s="295">
        <v>70</v>
      </c>
      <c r="AB459" s="295">
        <v>0</v>
      </c>
      <c r="AC459" s="295">
        <v>0</v>
      </c>
      <c r="AD459" s="295">
        <v>0</v>
      </c>
      <c r="AE459" s="295">
        <v>0</v>
      </c>
      <c r="AF459" s="295">
        <v>0</v>
      </c>
      <c r="AG459" s="295">
        <v>0</v>
      </c>
      <c r="AH459" s="295">
        <v>1852.5</v>
      </c>
      <c r="AI459" s="362"/>
    </row>
    <row r="460" spans="1:35">
      <c r="A460" s="291">
        <v>31943</v>
      </c>
      <c r="B460" s="291">
        <v>43177</v>
      </c>
      <c r="C460" s="292" t="s">
        <v>1611</v>
      </c>
      <c r="D460" s="293" t="s">
        <v>147</v>
      </c>
      <c r="E460" s="293" t="str">
        <f t="shared" si="7"/>
        <v>Q</v>
      </c>
      <c r="F460" s="293" t="s">
        <v>126</v>
      </c>
      <c r="G460" s="294">
        <v>1076</v>
      </c>
      <c r="H460" s="292" t="s">
        <v>97</v>
      </c>
      <c r="I460" s="292" t="s">
        <v>1837</v>
      </c>
      <c r="J460" s="293" t="s">
        <v>2072</v>
      </c>
      <c r="K460" s="293"/>
      <c r="L460" s="293" t="s">
        <v>2072</v>
      </c>
      <c r="M460" s="293" t="s">
        <v>1944</v>
      </c>
      <c r="N460" s="295">
        <v>1629</v>
      </c>
      <c r="O460" s="296" t="s">
        <v>673</v>
      </c>
      <c r="P460" s="295">
        <v>0</v>
      </c>
      <c r="Q460" s="295">
        <v>0</v>
      </c>
      <c r="R460" s="295">
        <v>0</v>
      </c>
      <c r="S460" s="295">
        <v>1599</v>
      </c>
      <c r="T460" s="295">
        <v>1599</v>
      </c>
      <c r="U460" s="295">
        <v>30</v>
      </c>
      <c r="V460" s="295">
        <v>10</v>
      </c>
      <c r="W460" s="295">
        <v>5.5</v>
      </c>
      <c r="X460" s="295">
        <v>5</v>
      </c>
      <c r="Y460" s="295">
        <v>18</v>
      </c>
      <c r="Z460" s="295">
        <v>15</v>
      </c>
      <c r="AA460" s="295">
        <v>70</v>
      </c>
      <c r="AB460" s="295">
        <v>0</v>
      </c>
      <c r="AC460" s="295">
        <v>0</v>
      </c>
      <c r="AD460" s="295">
        <v>0</v>
      </c>
      <c r="AE460" s="295">
        <v>0</v>
      </c>
      <c r="AF460" s="295">
        <v>0</v>
      </c>
      <c r="AG460" s="295">
        <v>-1554</v>
      </c>
      <c r="AH460" s="295">
        <v>198.5</v>
      </c>
      <c r="AI460" s="362"/>
    </row>
    <row r="461" spans="1:35">
      <c r="A461" s="291">
        <v>31833</v>
      </c>
      <c r="B461" s="291">
        <v>42616</v>
      </c>
      <c r="C461" s="292" t="s">
        <v>1612</v>
      </c>
      <c r="D461" s="293" t="s">
        <v>153</v>
      </c>
      <c r="E461" s="293" t="str">
        <f t="shared" si="7"/>
        <v>F</v>
      </c>
      <c r="F461" s="293" t="s">
        <v>126</v>
      </c>
      <c r="G461" s="294">
        <v>1076</v>
      </c>
      <c r="H461" s="292" t="s">
        <v>142</v>
      </c>
      <c r="I461" s="292" t="s">
        <v>1613</v>
      </c>
      <c r="J461" s="293" t="s">
        <v>1614</v>
      </c>
      <c r="K461" s="293" t="s">
        <v>2204</v>
      </c>
      <c r="L461" s="293" t="s">
        <v>1614</v>
      </c>
      <c r="M461" s="293" t="s">
        <v>1615</v>
      </c>
      <c r="N461" s="295">
        <v>1509</v>
      </c>
      <c r="O461" s="296" t="s">
        <v>673</v>
      </c>
      <c r="P461" s="295">
        <v>0</v>
      </c>
      <c r="Q461" s="295">
        <v>0</v>
      </c>
      <c r="R461" s="295">
        <v>0</v>
      </c>
      <c r="S461" s="295">
        <v>1539</v>
      </c>
      <c r="T461" s="295">
        <v>1539</v>
      </c>
      <c r="U461" s="295">
        <v>30</v>
      </c>
      <c r="V461" s="295">
        <v>10</v>
      </c>
      <c r="W461" s="295">
        <v>5.5</v>
      </c>
      <c r="X461" s="295">
        <v>5</v>
      </c>
      <c r="Y461" s="295">
        <v>18</v>
      </c>
      <c r="Z461" s="295">
        <v>15</v>
      </c>
      <c r="AA461" s="295">
        <v>0</v>
      </c>
      <c r="AB461" s="295">
        <v>0</v>
      </c>
      <c r="AC461" s="295">
        <v>0</v>
      </c>
      <c r="AD461" s="295">
        <v>0</v>
      </c>
      <c r="AE461" s="295">
        <v>0</v>
      </c>
      <c r="AF461" s="295">
        <v>0</v>
      </c>
      <c r="AG461" s="295">
        <v>0</v>
      </c>
      <c r="AH461" s="295">
        <v>1622.5</v>
      </c>
      <c r="AI461" s="362"/>
    </row>
    <row r="462" spans="1:35">
      <c r="A462" s="291">
        <v>11109</v>
      </c>
      <c r="B462" s="291">
        <v>42731</v>
      </c>
      <c r="C462" s="292" t="s">
        <v>1616</v>
      </c>
      <c r="D462" s="293" t="s">
        <v>677</v>
      </c>
      <c r="E462" s="293" t="str">
        <f t="shared" si="7"/>
        <v>G</v>
      </c>
      <c r="F462" s="293" t="s">
        <v>126</v>
      </c>
      <c r="G462" s="294">
        <v>1076</v>
      </c>
      <c r="H462" s="292" t="s">
        <v>97</v>
      </c>
      <c r="I462" s="292" t="s">
        <v>1617</v>
      </c>
      <c r="J462" s="293" t="s">
        <v>311</v>
      </c>
      <c r="K462" s="293"/>
      <c r="L462" s="293" t="s">
        <v>535</v>
      </c>
      <c r="M462" s="293" t="s">
        <v>536</v>
      </c>
      <c r="N462" s="295">
        <v>1579</v>
      </c>
      <c r="O462" s="296" t="s">
        <v>673</v>
      </c>
      <c r="P462" s="295">
        <v>0</v>
      </c>
      <c r="Q462" s="295">
        <v>0</v>
      </c>
      <c r="R462" s="295">
        <v>0</v>
      </c>
      <c r="S462" s="295">
        <v>1679</v>
      </c>
      <c r="T462" s="295">
        <v>1679</v>
      </c>
      <c r="U462" s="295">
        <v>30</v>
      </c>
      <c r="V462" s="295">
        <v>10</v>
      </c>
      <c r="W462" s="295">
        <v>5.5</v>
      </c>
      <c r="X462" s="295">
        <v>5</v>
      </c>
      <c r="Y462" s="295">
        <v>18</v>
      </c>
      <c r="Z462" s="295">
        <v>0</v>
      </c>
      <c r="AA462" s="295">
        <v>70</v>
      </c>
      <c r="AB462" s="295">
        <v>35</v>
      </c>
      <c r="AC462" s="295">
        <v>0</v>
      </c>
      <c r="AD462" s="295">
        <v>0</v>
      </c>
      <c r="AE462" s="295">
        <v>0</v>
      </c>
      <c r="AF462" s="295">
        <v>0</v>
      </c>
      <c r="AG462" s="295">
        <v>0</v>
      </c>
      <c r="AH462" s="295">
        <v>1852.5</v>
      </c>
      <c r="AI462" s="362"/>
    </row>
    <row r="463" spans="1:35">
      <c r="A463" s="291">
        <v>11371</v>
      </c>
      <c r="B463" s="291">
        <v>42668</v>
      </c>
      <c r="C463" s="292" t="s">
        <v>1618</v>
      </c>
      <c r="D463" s="293" t="s">
        <v>164</v>
      </c>
      <c r="E463" s="293" t="str">
        <f t="shared" si="7"/>
        <v>F</v>
      </c>
      <c r="F463" s="293" t="s">
        <v>126</v>
      </c>
      <c r="G463" s="294">
        <v>700</v>
      </c>
      <c r="H463" s="292" t="s">
        <v>97</v>
      </c>
      <c r="I463" s="292" t="s">
        <v>1619</v>
      </c>
      <c r="J463" s="293" t="s">
        <v>1422</v>
      </c>
      <c r="K463" s="293"/>
      <c r="L463" s="293" t="s">
        <v>377</v>
      </c>
      <c r="M463" s="293" t="s">
        <v>507</v>
      </c>
      <c r="N463" s="295">
        <v>1219</v>
      </c>
      <c r="O463" s="296" t="s">
        <v>673</v>
      </c>
      <c r="P463" s="295">
        <v>0</v>
      </c>
      <c r="Q463" s="295">
        <v>0</v>
      </c>
      <c r="R463" s="295">
        <v>-1411.38</v>
      </c>
      <c r="S463" s="295">
        <v>1189</v>
      </c>
      <c r="T463" s="295">
        <v>1189</v>
      </c>
      <c r="U463" s="295">
        <v>30</v>
      </c>
      <c r="V463" s="295">
        <v>10</v>
      </c>
      <c r="W463" s="295">
        <v>5.5</v>
      </c>
      <c r="X463" s="295">
        <v>5</v>
      </c>
      <c r="Y463" s="295">
        <v>18</v>
      </c>
      <c r="Z463" s="295">
        <v>15</v>
      </c>
      <c r="AA463" s="295">
        <v>0</v>
      </c>
      <c r="AB463" s="295">
        <v>35</v>
      </c>
      <c r="AC463" s="295">
        <v>0</v>
      </c>
      <c r="AD463" s="295">
        <v>0</v>
      </c>
      <c r="AE463" s="295">
        <v>0</v>
      </c>
      <c r="AF463" s="295">
        <v>0</v>
      </c>
      <c r="AG463" s="295">
        <v>0</v>
      </c>
      <c r="AH463" s="295">
        <v>1307.5</v>
      </c>
      <c r="AI463" s="362"/>
    </row>
    <row r="464" spans="1:35">
      <c r="A464" s="291">
        <v>32023</v>
      </c>
      <c r="B464" s="291">
        <v>42993</v>
      </c>
      <c r="C464" s="292" t="s">
        <v>1620</v>
      </c>
      <c r="D464" s="293" t="s">
        <v>167</v>
      </c>
      <c r="E464" s="293" t="str">
        <f t="shared" si="7"/>
        <v>Q</v>
      </c>
      <c r="F464" s="293" t="s">
        <v>126</v>
      </c>
      <c r="G464" s="294">
        <v>700</v>
      </c>
      <c r="H464" s="292" t="s">
        <v>97</v>
      </c>
      <c r="I464" s="292" t="s">
        <v>2038</v>
      </c>
      <c r="J464" s="293" t="s">
        <v>2028</v>
      </c>
      <c r="K464" s="293"/>
      <c r="L464" s="293" t="s">
        <v>2028</v>
      </c>
      <c r="M464" s="293" t="s">
        <v>2039</v>
      </c>
      <c r="N464" s="295">
        <v>1329</v>
      </c>
      <c r="O464" s="296" t="s">
        <v>673</v>
      </c>
      <c r="P464" s="295">
        <v>0</v>
      </c>
      <c r="Q464" s="295">
        <v>0</v>
      </c>
      <c r="R464" s="295">
        <v>0</v>
      </c>
      <c r="S464" s="295">
        <v>1359</v>
      </c>
      <c r="T464" s="295">
        <v>1359</v>
      </c>
      <c r="U464" s="295">
        <v>30</v>
      </c>
      <c r="V464" s="295">
        <v>10</v>
      </c>
      <c r="W464" s="295">
        <v>5.5</v>
      </c>
      <c r="X464" s="295">
        <v>5</v>
      </c>
      <c r="Y464" s="295">
        <v>18</v>
      </c>
      <c r="Z464" s="295">
        <v>0</v>
      </c>
      <c r="AA464" s="295">
        <v>70</v>
      </c>
      <c r="AB464" s="295">
        <v>0</v>
      </c>
      <c r="AC464" s="295">
        <v>0</v>
      </c>
      <c r="AD464" s="295">
        <v>0</v>
      </c>
      <c r="AE464" s="295">
        <v>0</v>
      </c>
      <c r="AF464" s="295">
        <v>0</v>
      </c>
      <c r="AG464" s="295">
        <v>0</v>
      </c>
      <c r="AH464" s="295">
        <v>1497.5</v>
      </c>
      <c r="AI464" s="362"/>
    </row>
    <row r="465" spans="1:35">
      <c r="A465" s="291">
        <v>0</v>
      </c>
      <c r="B465" s="291">
        <v>0</v>
      </c>
      <c r="C465" s="292" t="s">
        <v>1621</v>
      </c>
      <c r="D465" s="293" t="s">
        <v>167</v>
      </c>
      <c r="E465" s="293" t="str">
        <f t="shared" si="7"/>
        <v>Q</v>
      </c>
      <c r="F465" s="293" t="s">
        <v>126</v>
      </c>
      <c r="G465" s="294">
        <v>700</v>
      </c>
      <c r="H465" s="292" t="s">
        <v>101</v>
      </c>
      <c r="I465" s="292" t="s">
        <v>682</v>
      </c>
      <c r="J465" s="293"/>
      <c r="K465" s="293"/>
      <c r="L465" s="293"/>
      <c r="M465" s="293"/>
      <c r="N465" s="295">
        <v>1329</v>
      </c>
      <c r="O465" s="296"/>
      <c r="P465" s="295">
        <v>0</v>
      </c>
      <c r="Q465" s="295">
        <v>0</v>
      </c>
      <c r="R465" s="295">
        <v>0</v>
      </c>
      <c r="S465" s="295">
        <v>0</v>
      </c>
      <c r="T465" s="295">
        <v>0</v>
      </c>
      <c r="U465" s="295">
        <v>0</v>
      </c>
      <c r="V465" s="295">
        <v>0</v>
      </c>
      <c r="W465" s="295">
        <v>0</v>
      </c>
      <c r="X465" s="295">
        <v>0</v>
      </c>
      <c r="Y465" s="295">
        <v>0</v>
      </c>
      <c r="Z465" s="295">
        <v>0</v>
      </c>
      <c r="AA465" s="295">
        <v>0</v>
      </c>
      <c r="AB465" s="295">
        <v>0</v>
      </c>
      <c r="AC465" s="295">
        <v>0</v>
      </c>
      <c r="AD465" s="295">
        <v>0</v>
      </c>
      <c r="AE465" s="295">
        <v>0</v>
      </c>
      <c r="AF465" s="295">
        <v>0</v>
      </c>
      <c r="AG465" s="295">
        <v>0</v>
      </c>
      <c r="AH465" s="295">
        <v>0</v>
      </c>
      <c r="AI465" s="362"/>
    </row>
    <row r="466" spans="1:35">
      <c r="A466" s="291">
        <v>672</v>
      </c>
      <c r="B466" s="291">
        <v>42711</v>
      </c>
      <c r="C466" s="292" t="s">
        <v>1623</v>
      </c>
      <c r="D466" s="293" t="s">
        <v>164</v>
      </c>
      <c r="E466" s="293" t="str">
        <f t="shared" si="7"/>
        <v>F</v>
      </c>
      <c r="F466" s="293" t="s">
        <v>126</v>
      </c>
      <c r="G466" s="294">
        <v>700</v>
      </c>
      <c r="H466" s="292" t="s">
        <v>97</v>
      </c>
      <c r="I466" s="292" t="s">
        <v>1624</v>
      </c>
      <c r="J466" s="293" t="s">
        <v>1625</v>
      </c>
      <c r="K466" s="293"/>
      <c r="L466" s="293" t="s">
        <v>395</v>
      </c>
      <c r="M466" s="293" t="s">
        <v>527</v>
      </c>
      <c r="N466" s="295">
        <v>1219</v>
      </c>
      <c r="O466" s="296" t="s">
        <v>673</v>
      </c>
      <c r="P466" s="295">
        <v>0</v>
      </c>
      <c r="Q466" s="295">
        <v>0</v>
      </c>
      <c r="R466" s="295">
        <v>0</v>
      </c>
      <c r="S466" s="295">
        <v>1360</v>
      </c>
      <c r="T466" s="295">
        <v>1360</v>
      </c>
      <c r="U466" s="295">
        <v>30</v>
      </c>
      <c r="V466" s="295">
        <v>10</v>
      </c>
      <c r="W466" s="295">
        <v>5.5</v>
      </c>
      <c r="X466" s="295">
        <v>5</v>
      </c>
      <c r="Y466" s="295">
        <v>18</v>
      </c>
      <c r="Z466" s="295">
        <v>15</v>
      </c>
      <c r="AA466" s="295">
        <v>0</v>
      </c>
      <c r="AB466" s="295">
        <v>0</v>
      </c>
      <c r="AC466" s="295">
        <v>0</v>
      </c>
      <c r="AD466" s="295">
        <v>0</v>
      </c>
      <c r="AE466" s="295">
        <v>0</v>
      </c>
      <c r="AF466" s="295">
        <v>0</v>
      </c>
      <c r="AG466" s="295">
        <v>0</v>
      </c>
      <c r="AH466" s="295">
        <v>1443.5</v>
      </c>
      <c r="AI466" s="362"/>
    </row>
    <row r="467" spans="1:35">
      <c r="A467" s="291">
        <v>31454</v>
      </c>
      <c r="B467" s="291">
        <v>42685</v>
      </c>
      <c r="C467" s="292" t="s">
        <v>1626</v>
      </c>
      <c r="D467" s="293" t="s">
        <v>167</v>
      </c>
      <c r="E467" s="293" t="str">
        <f t="shared" si="7"/>
        <v>Q</v>
      </c>
      <c r="F467" s="293" t="s">
        <v>126</v>
      </c>
      <c r="G467" s="294">
        <v>700</v>
      </c>
      <c r="H467" s="292" t="s">
        <v>97</v>
      </c>
      <c r="I467" s="292" t="s">
        <v>1627</v>
      </c>
      <c r="J467" s="293" t="s">
        <v>381</v>
      </c>
      <c r="K467" s="293"/>
      <c r="L467" s="293" t="s">
        <v>526</v>
      </c>
      <c r="M467" s="293" t="s">
        <v>489</v>
      </c>
      <c r="N467" s="295">
        <v>1329</v>
      </c>
      <c r="O467" s="296" t="s">
        <v>673</v>
      </c>
      <c r="P467" s="295">
        <v>0</v>
      </c>
      <c r="Q467" s="295">
        <v>0</v>
      </c>
      <c r="R467" s="295">
        <v>34.1</v>
      </c>
      <c r="S467" s="295">
        <v>1389</v>
      </c>
      <c r="T467" s="295">
        <v>1389</v>
      </c>
      <c r="U467" s="295">
        <v>30</v>
      </c>
      <c r="V467" s="295">
        <v>10</v>
      </c>
      <c r="W467" s="295">
        <v>5.5</v>
      </c>
      <c r="X467" s="295">
        <v>5</v>
      </c>
      <c r="Y467" s="295">
        <v>18</v>
      </c>
      <c r="Z467" s="295">
        <v>15</v>
      </c>
      <c r="AA467" s="295">
        <v>0</v>
      </c>
      <c r="AB467" s="295">
        <v>0</v>
      </c>
      <c r="AC467" s="295">
        <v>0</v>
      </c>
      <c r="AD467" s="295">
        <v>0</v>
      </c>
      <c r="AE467" s="295">
        <v>0</v>
      </c>
      <c r="AF467" s="295">
        <v>0</v>
      </c>
      <c r="AG467" s="295">
        <v>0</v>
      </c>
      <c r="AH467" s="295">
        <v>1472.5</v>
      </c>
      <c r="AI467" s="362"/>
    </row>
    <row r="468" spans="1:35">
      <c r="A468" s="291">
        <v>487</v>
      </c>
      <c r="B468" s="291">
        <v>42796</v>
      </c>
      <c r="C468" s="292" t="s">
        <v>1628</v>
      </c>
      <c r="D468" s="293" t="s">
        <v>167</v>
      </c>
      <c r="E468" s="293" t="str">
        <f t="shared" si="7"/>
        <v>Q</v>
      </c>
      <c r="F468" s="293" t="s">
        <v>126</v>
      </c>
      <c r="G468" s="294">
        <v>700</v>
      </c>
      <c r="H468" s="292" t="s">
        <v>97</v>
      </c>
      <c r="I468" s="292" t="s">
        <v>1629</v>
      </c>
      <c r="J468" s="293" t="s">
        <v>1630</v>
      </c>
      <c r="K468" s="293"/>
      <c r="L468" s="293" t="s">
        <v>391</v>
      </c>
      <c r="M468" s="293" t="s">
        <v>509</v>
      </c>
      <c r="N468" s="295">
        <v>1329</v>
      </c>
      <c r="O468" s="296" t="s">
        <v>673</v>
      </c>
      <c r="P468" s="295">
        <v>0</v>
      </c>
      <c r="Q468" s="295">
        <v>0</v>
      </c>
      <c r="R468" s="295">
        <v>0</v>
      </c>
      <c r="S468" s="295">
        <v>1397</v>
      </c>
      <c r="T468" s="295">
        <v>1397</v>
      </c>
      <c r="U468" s="295">
        <v>30</v>
      </c>
      <c r="V468" s="295">
        <v>10</v>
      </c>
      <c r="W468" s="295">
        <v>5.5</v>
      </c>
      <c r="X468" s="295">
        <v>5</v>
      </c>
      <c r="Y468" s="295">
        <v>18</v>
      </c>
      <c r="Z468" s="295">
        <v>30</v>
      </c>
      <c r="AA468" s="295">
        <v>0</v>
      </c>
      <c r="AB468" s="295">
        <v>0</v>
      </c>
      <c r="AC468" s="295">
        <v>0</v>
      </c>
      <c r="AD468" s="295">
        <v>0</v>
      </c>
      <c r="AE468" s="295">
        <v>0</v>
      </c>
      <c r="AF468" s="295">
        <v>0</v>
      </c>
      <c r="AG468" s="295">
        <v>0</v>
      </c>
      <c r="AH468" s="295">
        <v>1495.5</v>
      </c>
      <c r="AI468" s="362"/>
    </row>
    <row r="469" spans="1:35">
      <c r="A469" s="291">
        <v>0</v>
      </c>
      <c r="B469" s="291">
        <v>0</v>
      </c>
      <c r="C469" s="292" t="s">
        <v>1631</v>
      </c>
      <c r="D469" s="293" t="s">
        <v>167</v>
      </c>
      <c r="E469" s="293" t="str">
        <f t="shared" si="7"/>
        <v>Q</v>
      </c>
      <c r="F469" s="293" t="s">
        <v>126</v>
      </c>
      <c r="G469" s="294">
        <v>700</v>
      </c>
      <c r="H469" s="292" t="s">
        <v>101</v>
      </c>
      <c r="I469" s="292" t="s">
        <v>682</v>
      </c>
      <c r="J469" s="293"/>
      <c r="K469" s="293"/>
      <c r="L469" s="293"/>
      <c r="M469" s="293"/>
      <c r="N469" s="295">
        <v>1329</v>
      </c>
      <c r="O469" s="296"/>
      <c r="P469" s="295">
        <v>0</v>
      </c>
      <c r="Q469" s="295">
        <v>0</v>
      </c>
      <c r="R469" s="295">
        <v>0</v>
      </c>
      <c r="S469" s="295">
        <v>0</v>
      </c>
      <c r="T469" s="295">
        <v>0</v>
      </c>
      <c r="U469" s="295">
        <v>0</v>
      </c>
      <c r="V469" s="295">
        <v>0</v>
      </c>
      <c r="W469" s="295">
        <v>0</v>
      </c>
      <c r="X469" s="295">
        <v>0</v>
      </c>
      <c r="Y469" s="295">
        <v>0</v>
      </c>
      <c r="Z469" s="295">
        <v>0</v>
      </c>
      <c r="AA469" s="295">
        <v>0</v>
      </c>
      <c r="AB469" s="295">
        <v>0</v>
      </c>
      <c r="AC469" s="295">
        <v>0</v>
      </c>
      <c r="AD469" s="295">
        <v>0</v>
      </c>
      <c r="AE469" s="295">
        <v>0</v>
      </c>
      <c r="AF469" s="295">
        <v>0</v>
      </c>
      <c r="AG469" s="295">
        <v>0</v>
      </c>
      <c r="AH469" s="295">
        <v>0</v>
      </c>
      <c r="AI469" s="362"/>
    </row>
    <row r="470" spans="1:35">
      <c r="A470" s="291">
        <v>11017</v>
      </c>
      <c r="B470" s="291">
        <v>42693</v>
      </c>
      <c r="C470" s="292" t="s">
        <v>1632</v>
      </c>
      <c r="D470" s="293" t="s">
        <v>281</v>
      </c>
      <c r="E470" s="293" t="str">
        <f t="shared" si="7"/>
        <v>G</v>
      </c>
      <c r="F470" s="293" t="s">
        <v>126</v>
      </c>
      <c r="G470" s="294">
        <v>700</v>
      </c>
      <c r="H470" s="292" t="s">
        <v>97</v>
      </c>
      <c r="I470" s="292" t="s">
        <v>1633</v>
      </c>
      <c r="J470" s="293" t="s">
        <v>1634</v>
      </c>
      <c r="K470" s="293"/>
      <c r="L470" s="293" t="s">
        <v>903</v>
      </c>
      <c r="M470" s="293" t="s">
        <v>485</v>
      </c>
      <c r="N470" s="295">
        <v>1289</v>
      </c>
      <c r="O470" s="296" t="s">
        <v>673</v>
      </c>
      <c r="P470" s="295">
        <v>0</v>
      </c>
      <c r="Q470" s="295">
        <v>0</v>
      </c>
      <c r="R470" s="295">
        <v>250</v>
      </c>
      <c r="S470" s="295">
        <v>1340</v>
      </c>
      <c r="T470" s="295">
        <v>1340</v>
      </c>
      <c r="U470" s="295">
        <v>30</v>
      </c>
      <c r="V470" s="295">
        <v>10</v>
      </c>
      <c r="W470" s="295">
        <v>5.5</v>
      </c>
      <c r="X470" s="295">
        <v>5</v>
      </c>
      <c r="Y470" s="295">
        <v>0</v>
      </c>
      <c r="Z470" s="295">
        <v>0</v>
      </c>
      <c r="AA470" s="295">
        <v>0</v>
      </c>
      <c r="AB470" s="295">
        <v>0</v>
      </c>
      <c r="AC470" s="295">
        <v>0</v>
      </c>
      <c r="AD470" s="295">
        <v>0</v>
      </c>
      <c r="AE470" s="295">
        <v>0</v>
      </c>
      <c r="AF470" s="295">
        <v>0</v>
      </c>
      <c r="AG470" s="295">
        <v>0</v>
      </c>
      <c r="AH470" s="295">
        <v>1390.5</v>
      </c>
      <c r="AI470" s="362"/>
    </row>
    <row r="471" spans="1:35">
      <c r="A471" s="291">
        <v>31582</v>
      </c>
      <c r="B471" s="291">
        <v>42880</v>
      </c>
      <c r="C471" s="292" t="s">
        <v>1635</v>
      </c>
      <c r="D471" s="293" t="s">
        <v>153</v>
      </c>
      <c r="E471" s="293" t="str">
        <f t="shared" si="7"/>
        <v>F</v>
      </c>
      <c r="F471" s="293" t="s">
        <v>126</v>
      </c>
      <c r="G471" s="294">
        <v>1076</v>
      </c>
      <c r="H471" s="292" t="s">
        <v>97</v>
      </c>
      <c r="I471" s="292" t="s">
        <v>1636</v>
      </c>
      <c r="J471" s="293" t="s">
        <v>1637</v>
      </c>
      <c r="K471" s="293"/>
      <c r="L471" s="293" t="s">
        <v>399</v>
      </c>
      <c r="M471" s="293" t="s">
        <v>1801</v>
      </c>
      <c r="N471" s="295">
        <v>1509</v>
      </c>
      <c r="O471" s="296" t="s">
        <v>673</v>
      </c>
      <c r="P471" s="295">
        <v>0</v>
      </c>
      <c r="Q471" s="295">
        <v>0</v>
      </c>
      <c r="R471" s="295">
        <v>0</v>
      </c>
      <c r="S471" s="295">
        <v>1539</v>
      </c>
      <c r="T471" s="295">
        <v>1539</v>
      </c>
      <c r="U471" s="295">
        <v>30</v>
      </c>
      <c r="V471" s="295">
        <v>10</v>
      </c>
      <c r="W471" s="295">
        <v>5.5</v>
      </c>
      <c r="X471" s="295">
        <v>5</v>
      </c>
      <c r="Y471" s="295">
        <v>18</v>
      </c>
      <c r="Z471" s="295">
        <v>15</v>
      </c>
      <c r="AA471" s="295">
        <v>70</v>
      </c>
      <c r="AB471" s="295">
        <v>0</v>
      </c>
      <c r="AC471" s="295">
        <v>0</v>
      </c>
      <c r="AD471" s="295">
        <v>0</v>
      </c>
      <c r="AE471" s="295">
        <v>0</v>
      </c>
      <c r="AF471" s="295">
        <v>0</v>
      </c>
      <c r="AG471" s="295">
        <v>0</v>
      </c>
      <c r="AH471" s="295">
        <v>1692.5</v>
      </c>
      <c r="AI471" s="362"/>
    </row>
    <row r="472" spans="1:35">
      <c r="A472" s="291">
        <v>31496</v>
      </c>
      <c r="B472" s="291">
        <v>42756</v>
      </c>
      <c r="C472" s="292" t="s">
        <v>1638</v>
      </c>
      <c r="D472" s="293" t="s">
        <v>153</v>
      </c>
      <c r="E472" s="293" t="str">
        <f t="shared" si="7"/>
        <v>F</v>
      </c>
      <c r="F472" s="293" t="s">
        <v>126</v>
      </c>
      <c r="G472" s="294">
        <v>1076</v>
      </c>
      <c r="H472" s="292" t="s">
        <v>97</v>
      </c>
      <c r="I472" s="292" t="s">
        <v>1639</v>
      </c>
      <c r="J472" s="293" t="s">
        <v>1640</v>
      </c>
      <c r="K472" s="293"/>
      <c r="L472" s="293" t="s">
        <v>524</v>
      </c>
      <c r="M472" s="293" t="s">
        <v>525</v>
      </c>
      <c r="N472" s="295">
        <v>1509</v>
      </c>
      <c r="O472" s="296" t="s">
        <v>673</v>
      </c>
      <c r="P472" s="295">
        <v>0</v>
      </c>
      <c r="Q472" s="295">
        <v>0</v>
      </c>
      <c r="R472" s="295">
        <v>0</v>
      </c>
      <c r="S472" s="295">
        <v>1549</v>
      </c>
      <c r="T472" s="295">
        <v>1549</v>
      </c>
      <c r="U472" s="295">
        <v>30</v>
      </c>
      <c r="V472" s="295">
        <v>10</v>
      </c>
      <c r="W472" s="295">
        <v>5.5</v>
      </c>
      <c r="X472" s="295">
        <v>5</v>
      </c>
      <c r="Y472" s="295">
        <v>18</v>
      </c>
      <c r="Z472" s="295">
        <v>15</v>
      </c>
      <c r="AA472" s="295">
        <v>0</v>
      </c>
      <c r="AB472" s="295">
        <v>0</v>
      </c>
      <c r="AC472" s="295">
        <v>0</v>
      </c>
      <c r="AD472" s="295">
        <v>0</v>
      </c>
      <c r="AE472" s="295">
        <v>0</v>
      </c>
      <c r="AF472" s="295">
        <v>0</v>
      </c>
      <c r="AG472" s="295">
        <v>0</v>
      </c>
      <c r="AH472" s="295">
        <v>1632.5</v>
      </c>
      <c r="AI472" s="362"/>
    </row>
    <row r="473" spans="1:35">
      <c r="A473" s="291">
        <v>31960</v>
      </c>
      <c r="B473" s="291">
        <v>42881</v>
      </c>
      <c r="C473" s="292" t="s">
        <v>1641</v>
      </c>
      <c r="D473" s="293" t="s">
        <v>153</v>
      </c>
      <c r="E473" s="293" t="str">
        <f t="shared" si="7"/>
        <v>F</v>
      </c>
      <c r="F473" s="293" t="s">
        <v>126</v>
      </c>
      <c r="G473" s="294">
        <v>1076</v>
      </c>
      <c r="H473" s="292" t="s">
        <v>97</v>
      </c>
      <c r="I473" s="292" t="s">
        <v>1901</v>
      </c>
      <c r="J473" s="293" t="s">
        <v>421</v>
      </c>
      <c r="K473" s="293"/>
      <c r="L473" s="293" t="s">
        <v>421</v>
      </c>
      <c r="M473" s="293" t="s">
        <v>1804</v>
      </c>
      <c r="N473" s="295">
        <v>1509</v>
      </c>
      <c r="O473" s="296" t="s">
        <v>673</v>
      </c>
      <c r="P473" s="295">
        <v>0</v>
      </c>
      <c r="Q473" s="295">
        <v>0</v>
      </c>
      <c r="R473" s="295">
        <v>0</v>
      </c>
      <c r="S473" s="295">
        <v>1539</v>
      </c>
      <c r="T473" s="295">
        <v>1539</v>
      </c>
      <c r="U473" s="295">
        <v>30</v>
      </c>
      <c r="V473" s="295">
        <v>10</v>
      </c>
      <c r="W473" s="295">
        <v>5.5</v>
      </c>
      <c r="X473" s="295">
        <v>5</v>
      </c>
      <c r="Y473" s="295">
        <v>18</v>
      </c>
      <c r="Z473" s="295">
        <v>0</v>
      </c>
      <c r="AA473" s="295">
        <v>70</v>
      </c>
      <c r="AB473" s="295">
        <v>0</v>
      </c>
      <c r="AC473" s="295">
        <v>0</v>
      </c>
      <c r="AD473" s="295">
        <v>0</v>
      </c>
      <c r="AE473" s="295">
        <v>0</v>
      </c>
      <c r="AF473" s="295">
        <v>0</v>
      </c>
      <c r="AG473" s="295">
        <v>0</v>
      </c>
      <c r="AH473" s="295">
        <v>1677.5</v>
      </c>
      <c r="AI473" s="362"/>
    </row>
    <row r="474" spans="1:35">
      <c r="A474" s="291">
        <v>0</v>
      </c>
      <c r="B474" s="291">
        <v>0</v>
      </c>
      <c r="C474" s="292" t="s">
        <v>1642</v>
      </c>
      <c r="D474" s="293" t="s">
        <v>677</v>
      </c>
      <c r="E474" s="293" t="str">
        <f t="shared" si="7"/>
        <v>G</v>
      </c>
      <c r="F474" s="293" t="s">
        <v>126</v>
      </c>
      <c r="G474" s="294">
        <v>1076</v>
      </c>
      <c r="H474" s="292" t="s">
        <v>101</v>
      </c>
      <c r="I474" s="292" t="s">
        <v>682</v>
      </c>
      <c r="J474" s="293"/>
      <c r="K474" s="293"/>
      <c r="L474" s="293"/>
      <c r="M474" s="293"/>
      <c r="N474" s="295">
        <v>1579</v>
      </c>
      <c r="O474" s="296"/>
      <c r="P474" s="295">
        <v>0</v>
      </c>
      <c r="Q474" s="295">
        <v>0</v>
      </c>
      <c r="R474" s="295">
        <v>0</v>
      </c>
      <c r="S474" s="295">
        <v>0</v>
      </c>
      <c r="T474" s="295">
        <v>0</v>
      </c>
      <c r="U474" s="295">
        <v>0</v>
      </c>
      <c r="V474" s="295">
        <v>0</v>
      </c>
      <c r="W474" s="295">
        <v>0</v>
      </c>
      <c r="X474" s="295">
        <v>0</v>
      </c>
      <c r="Y474" s="295">
        <v>0</v>
      </c>
      <c r="Z474" s="295">
        <v>0</v>
      </c>
      <c r="AA474" s="295">
        <v>0</v>
      </c>
      <c r="AB474" s="295">
        <v>0</v>
      </c>
      <c r="AC474" s="295">
        <v>0</v>
      </c>
      <c r="AD474" s="295">
        <v>0</v>
      </c>
      <c r="AE474" s="295">
        <v>0</v>
      </c>
      <c r="AF474" s="295">
        <v>0</v>
      </c>
      <c r="AG474" s="295">
        <v>0</v>
      </c>
      <c r="AH474" s="295">
        <v>0</v>
      </c>
      <c r="AI474" s="362"/>
    </row>
    <row r="475" spans="1:35">
      <c r="A475" s="291">
        <v>31722</v>
      </c>
      <c r="B475" s="291">
        <v>43039</v>
      </c>
      <c r="C475" s="292" t="s">
        <v>1643</v>
      </c>
      <c r="D475" s="293" t="s">
        <v>139</v>
      </c>
      <c r="E475" s="293" t="str">
        <f t="shared" si="7"/>
        <v>Q</v>
      </c>
      <c r="F475" s="293" t="s">
        <v>126</v>
      </c>
      <c r="G475" s="294">
        <v>600</v>
      </c>
      <c r="H475" s="292" t="s">
        <v>97</v>
      </c>
      <c r="I475" s="292" t="s">
        <v>1644</v>
      </c>
      <c r="J475" s="293" t="s">
        <v>1225</v>
      </c>
      <c r="K475" s="293"/>
      <c r="L475" s="293" t="s">
        <v>458</v>
      </c>
      <c r="M475" s="293" t="s">
        <v>1973</v>
      </c>
      <c r="N475" s="295">
        <v>1279</v>
      </c>
      <c r="O475" s="296" t="s">
        <v>673</v>
      </c>
      <c r="P475" s="295">
        <v>0</v>
      </c>
      <c r="Q475" s="295">
        <v>0</v>
      </c>
      <c r="R475" s="295">
        <v>-1446.83</v>
      </c>
      <c r="S475" s="295">
        <v>1259</v>
      </c>
      <c r="T475" s="295">
        <v>1259</v>
      </c>
      <c r="U475" s="295">
        <v>30</v>
      </c>
      <c r="V475" s="295">
        <v>10</v>
      </c>
      <c r="W475" s="295">
        <v>5.5</v>
      </c>
      <c r="X475" s="295">
        <v>5</v>
      </c>
      <c r="Y475" s="295">
        <v>18</v>
      </c>
      <c r="Z475" s="295">
        <v>15</v>
      </c>
      <c r="AA475" s="295">
        <v>70</v>
      </c>
      <c r="AB475" s="295">
        <v>0</v>
      </c>
      <c r="AC475" s="295">
        <v>0</v>
      </c>
      <c r="AD475" s="295">
        <v>0</v>
      </c>
      <c r="AE475" s="295">
        <v>0</v>
      </c>
      <c r="AF475" s="295">
        <v>0</v>
      </c>
      <c r="AG475" s="295">
        <v>0</v>
      </c>
      <c r="AH475" s="295">
        <v>1412.5</v>
      </c>
      <c r="AI475" s="362"/>
    </row>
    <row r="476" spans="1:35">
      <c r="A476" s="291">
        <v>169</v>
      </c>
      <c r="B476" s="291">
        <v>42979</v>
      </c>
      <c r="C476" s="292" t="s">
        <v>1645</v>
      </c>
      <c r="D476" s="293" t="s">
        <v>133</v>
      </c>
      <c r="E476" s="293" t="str">
        <f t="shared" si="7"/>
        <v>1</v>
      </c>
      <c r="F476" s="293" t="s">
        <v>126</v>
      </c>
      <c r="G476" s="294">
        <v>600</v>
      </c>
      <c r="H476" s="292" t="s">
        <v>97</v>
      </c>
      <c r="I476" s="292" t="s">
        <v>1646</v>
      </c>
      <c r="J476" s="293" t="s">
        <v>1647</v>
      </c>
      <c r="K476" s="293"/>
      <c r="L476" s="293" t="s">
        <v>1985</v>
      </c>
      <c r="M476" s="293" t="s">
        <v>1977</v>
      </c>
      <c r="N476" s="295">
        <v>1269</v>
      </c>
      <c r="O476" s="296" t="s">
        <v>673</v>
      </c>
      <c r="P476" s="295">
        <v>0</v>
      </c>
      <c r="Q476" s="295">
        <v>0</v>
      </c>
      <c r="R476" s="295">
        <v>0</v>
      </c>
      <c r="S476" s="295">
        <v>1335</v>
      </c>
      <c r="T476" s="295">
        <v>1335</v>
      </c>
      <c r="U476" s="295">
        <v>30</v>
      </c>
      <c r="V476" s="295">
        <v>10</v>
      </c>
      <c r="W476" s="295">
        <v>5.5</v>
      </c>
      <c r="X476" s="295">
        <v>5</v>
      </c>
      <c r="Y476" s="295">
        <v>0</v>
      </c>
      <c r="Z476" s="295">
        <v>15</v>
      </c>
      <c r="AA476" s="295">
        <v>70</v>
      </c>
      <c r="AB476" s="295">
        <v>0</v>
      </c>
      <c r="AC476" s="295">
        <v>0</v>
      </c>
      <c r="AD476" s="295">
        <v>0</v>
      </c>
      <c r="AE476" s="295">
        <v>0</v>
      </c>
      <c r="AF476" s="295">
        <v>0</v>
      </c>
      <c r="AG476" s="295">
        <v>0</v>
      </c>
      <c r="AH476" s="295">
        <v>1470.5</v>
      </c>
      <c r="AI476" s="362"/>
    </row>
    <row r="477" spans="1:35">
      <c r="A477" s="291">
        <v>31796</v>
      </c>
      <c r="B477" s="291">
        <v>43225</v>
      </c>
      <c r="C477" s="292" t="s">
        <v>1648</v>
      </c>
      <c r="D477" s="293" t="s">
        <v>129</v>
      </c>
      <c r="E477" s="293" t="str">
        <f t="shared" si="7"/>
        <v>F</v>
      </c>
      <c r="F477" s="293" t="s">
        <v>126</v>
      </c>
      <c r="G477" s="294">
        <v>600</v>
      </c>
      <c r="H477" s="292" t="s">
        <v>97</v>
      </c>
      <c r="I477" s="292" t="s">
        <v>1450</v>
      </c>
      <c r="J477" s="293" t="s">
        <v>476</v>
      </c>
      <c r="K477" s="293"/>
      <c r="L477" s="293" t="s">
        <v>476</v>
      </c>
      <c r="M477" s="293" t="s">
        <v>2110</v>
      </c>
      <c r="N477" s="295">
        <v>1169</v>
      </c>
      <c r="O477" s="296" t="s">
        <v>673</v>
      </c>
      <c r="P477" s="295">
        <v>0</v>
      </c>
      <c r="Q477" s="295">
        <v>0</v>
      </c>
      <c r="R477" s="295">
        <v>0</v>
      </c>
      <c r="S477" s="295">
        <v>1169</v>
      </c>
      <c r="T477" s="295">
        <v>1169</v>
      </c>
      <c r="U477" s="295">
        <v>30</v>
      </c>
      <c r="V477" s="295">
        <v>10</v>
      </c>
      <c r="W477" s="295">
        <v>5.5</v>
      </c>
      <c r="X477" s="295">
        <v>5</v>
      </c>
      <c r="Y477" s="295">
        <v>18</v>
      </c>
      <c r="Z477" s="295">
        <v>15</v>
      </c>
      <c r="AA477" s="295">
        <v>70</v>
      </c>
      <c r="AB477" s="295">
        <v>0</v>
      </c>
      <c r="AC477" s="295">
        <v>0</v>
      </c>
      <c r="AD477" s="295">
        <v>0</v>
      </c>
      <c r="AE477" s="295">
        <v>0</v>
      </c>
      <c r="AF477" s="295">
        <v>0</v>
      </c>
      <c r="AG477" s="295">
        <v>0</v>
      </c>
      <c r="AH477" s="295">
        <v>1322.5</v>
      </c>
      <c r="AI477" s="362"/>
    </row>
    <row r="478" spans="1:35">
      <c r="A478" s="291">
        <v>31527</v>
      </c>
      <c r="B478" s="291">
        <v>42776</v>
      </c>
      <c r="C478" s="292" t="s">
        <v>1649</v>
      </c>
      <c r="D478" s="293" t="s">
        <v>129</v>
      </c>
      <c r="E478" s="293" t="str">
        <f t="shared" si="7"/>
        <v>F</v>
      </c>
      <c r="F478" s="293" t="s">
        <v>126</v>
      </c>
      <c r="G478" s="294">
        <v>600</v>
      </c>
      <c r="H478" s="292" t="s">
        <v>97</v>
      </c>
      <c r="I478" s="292" t="s">
        <v>1650</v>
      </c>
      <c r="J478" s="293" t="s">
        <v>1651</v>
      </c>
      <c r="K478" s="293"/>
      <c r="L478" s="293" t="s">
        <v>392</v>
      </c>
      <c r="M478" s="293" t="s">
        <v>528</v>
      </c>
      <c r="N478" s="295">
        <v>1169</v>
      </c>
      <c r="O478" s="296" t="s">
        <v>673</v>
      </c>
      <c r="P478" s="295">
        <v>0</v>
      </c>
      <c r="Q478" s="295">
        <v>0</v>
      </c>
      <c r="R478" s="295">
        <v>0</v>
      </c>
      <c r="S478" s="295">
        <v>1229</v>
      </c>
      <c r="T478" s="295">
        <v>1229</v>
      </c>
      <c r="U478" s="295">
        <v>30</v>
      </c>
      <c r="V478" s="295">
        <v>10</v>
      </c>
      <c r="W478" s="295">
        <v>5.5</v>
      </c>
      <c r="X478" s="295">
        <v>5</v>
      </c>
      <c r="Y478" s="295">
        <v>18</v>
      </c>
      <c r="Z478" s="295">
        <v>15</v>
      </c>
      <c r="AA478" s="295">
        <v>0</v>
      </c>
      <c r="AB478" s="295">
        <v>0</v>
      </c>
      <c r="AC478" s="295">
        <v>0</v>
      </c>
      <c r="AD478" s="295">
        <v>0</v>
      </c>
      <c r="AE478" s="295">
        <v>0</v>
      </c>
      <c r="AF478" s="295">
        <v>0</v>
      </c>
      <c r="AG478" s="295">
        <v>0</v>
      </c>
      <c r="AH478" s="295">
        <v>1312.5</v>
      </c>
      <c r="AI478" s="362"/>
    </row>
    <row r="479" spans="1:35">
      <c r="A479" s="291">
        <v>406</v>
      </c>
      <c r="B479" s="291">
        <v>42712</v>
      </c>
      <c r="C479" s="292" t="s">
        <v>1652</v>
      </c>
      <c r="D479" s="293" t="s">
        <v>133</v>
      </c>
      <c r="E479" s="293" t="str">
        <f t="shared" si="7"/>
        <v>1</v>
      </c>
      <c r="F479" s="293" t="s">
        <v>126</v>
      </c>
      <c r="G479" s="294">
        <v>600</v>
      </c>
      <c r="H479" s="292" t="s">
        <v>97</v>
      </c>
      <c r="I479" s="292" t="s">
        <v>1653</v>
      </c>
      <c r="J479" s="293" t="s">
        <v>1654</v>
      </c>
      <c r="K479" s="293"/>
      <c r="L479" s="293" t="s">
        <v>1060</v>
      </c>
      <c r="M479" s="293" t="s">
        <v>1061</v>
      </c>
      <c r="N479" s="295">
        <v>1269</v>
      </c>
      <c r="O479" s="296" t="s">
        <v>673</v>
      </c>
      <c r="P479" s="295">
        <v>0</v>
      </c>
      <c r="Q479" s="295">
        <v>0</v>
      </c>
      <c r="R479" s="295">
        <v>0</v>
      </c>
      <c r="S479" s="295">
        <v>1249</v>
      </c>
      <c r="T479" s="295">
        <v>1249</v>
      </c>
      <c r="U479" s="295">
        <v>30</v>
      </c>
      <c r="V479" s="295">
        <v>10</v>
      </c>
      <c r="W479" s="295">
        <v>5.5</v>
      </c>
      <c r="X479" s="295">
        <v>5</v>
      </c>
      <c r="Y479" s="295">
        <v>18</v>
      </c>
      <c r="Z479" s="295">
        <v>15</v>
      </c>
      <c r="AA479" s="295">
        <v>0</v>
      </c>
      <c r="AB479" s="295">
        <v>0</v>
      </c>
      <c r="AC479" s="295">
        <v>0</v>
      </c>
      <c r="AD479" s="295">
        <v>0</v>
      </c>
      <c r="AE479" s="295">
        <v>0</v>
      </c>
      <c r="AF479" s="295">
        <v>0</v>
      </c>
      <c r="AG479" s="295">
        <v>0</v>
      </c>
      <c r="AH479" s="295">
        <v>1332.5</v>
      </c>
      <c r="AI479" s="362"/>
    </row>
    <row r="480" spans="1:35">
      <c r="A480" s="291">
        <v>123</v>
      </c>
      <c r="B480" s="291">
        <v>43024</v>
      </c>
      <c r="C480" s="292" t="s">
        <v>1655</v>
      </c>
      <c r="D480" s="293" t="s">
        <v>133</v>
      </c>
      <c r="E480" s="293" t="str">
        <f t="shared" si="7"/>
        <v>1</v>
      </c>
      <c r="F480" s="293" t="s">
        <v>126</v>
      </c>
      <c r="G480" s="294">
        <v>600</v>
      </c>
      <c r="H480" s="292" t="s">
        <v>97</v>
      </c>
      <c r="I480" s="292" t="s">
        <v>1656</v>
      </c>
      <c r="J480" s="293" t="s">
        <v>1657</v>
      </c>
      <c r="K480" s="293"/>
      <c r="L480" s="293" t="s">
        <v>1938</v>
      </c>
      <c r="M480" s="293" t="s">
        <v>1939</v>
      </c>
      <c r="N480" s="295">
        <v>1269</v>
      </c>
      <c r="O480" s="296" t="s">
        <v>673</v>
      </c>
      <c r="P480" s="295">
        <v>500</v>
      </c>
      <c r="Q480" s="295">
        <v>500</v>
      </c>
      <c r="R480" s="295">
        <v>0</v>
      </c>
      <c r="S480" s="295">
        <v>1339</v>
      </c>
      <c r="T480" s="295">
        <v>1339</v>
      </c>
      <c r="U480" s="295">
        <v>30</v>
      </c>
      <c r="V480" s="295">
        <v>10</v>
      </c>
      <c r="W480" s="295">
        <v>5.5</v>
      </c>
      <c r="X480" s="295">
        <v>5</v>
      </c>
      <c r="Y480" s="295">
        <v>18</v>
      </c>
      <c r="Z480" s="295">
        <v>30</v>
      </c>
      <c r="AA480" s="295">
        <v>70</v>
      </c>
      <c r="AB480" s="295">
        <v>0</v>
      </c>
      <c r="AC480" s="295">
        <v>0</v>
      </c>
      <c r="AD480" s="295">
        <v>0</v>
      </c>
      <c r="AE480" s="295">
        <v>0</v>
      </c>
      <c r="AF480" s="295">
        <v>0</v>
      </c>
      <c r="AG480" s="295">
        <v>0</v>
      </c>
      <c r="AH480" s="295">
        <v>1507.5</v>
      </c>
      <c r="AI480" s="362"/>
    </row>
    <row r="481" spans="1:35">
      <c r="A481" s="291">
        <v>31989</v>
      </c>
      <c r="B481" s="291">
        <v>42925</v>
      </c>
      <c r="C481" s="292" t="s">
        <v>1658</v>
      </c>
      <c r="D481" s="293" t="s">
        <v>139</v>
      </c>
      <c r="E481" s="293" t="str">
        <f t="shared" si="7"/>
        <v>Q</v>
      </c>
      <c r="F481" s="293" t="s">
        <v>126</v>
      </c>
      <c r="G481" s="294">
        <v>600</v>
      </c>
      <c r="H481" s="292" t="s">
        <v>97</v>
      </c>
      <c r="I481" s="292" t="s">
        <v>1902</v>
      </c>
      <c r="J481" s="293" t="s">
        <v>407</v>
      </c>
      <c r="K481" s="293"/>
      <c r="L481" s="293" t="s">
        <v>407</v>
      </c>
      <c r="M481" s="293" t="s">
        <v>1833</v>
      </c>
      <c r="N481" s="295">
        <v>1279</v>
      </c>
      <c r="O481" s="296" t="s">
        <v>673</v>
      </c>
      <c r="P481" s="295">
        <v>0</v>
      </c>
      <c r="Q481" s="295">
        <v>0</v>
      </c>
      <c r="R481" s="295">
        <v>-1482.5</v>
      </c>
      <c r="S481" s="295">
        <v>1309</v>
      </c>
      <c r="T481" s="295">
        <v>1309</v>
      </c>
      <c r="U481" s="295">
        <v>30</v>
      </c>
      <c r="V481" s="295">
        <v>10</v>
      </c>
      <c r="W481" s="295">
        <v>5.5</v>
      </c>
      <c r="X481" s="295">
        <v>5</v>
      </c>
      <c r="Y481" s="295">
        <v>18</v>
      </c>
      <c r="Z481" s="295">
        <v>0</v>
      </c>
      <c r="AA481" s="295">
        <v>70</v>
      </c>
      <c r="AB481" s="295">
        <v>35</v>
      </c>
      <c r="AC481" s="295">
        <v>0</v>
      </c>
      <c r="AD481" s="295">
        <v>0</v>
      </c>
      <c r="AE481" s="295">
        <v>0</v>
      </c>
      <c r="AF481" s="295">
        <v>0</v>
      </c>
      <c r="AG481" s="295">
        <v>0</v>
      </c>
      <c r="AH481" s="295">
        <v>1482.5</v>
      </c>
      <c r="AI481" s="362"/>
    </row>
    <row r="482" spans="1:35">
      <c r="A482" s="291">
        <v>31731</v>
      </c>
      <c r="B482" s="291">
        <v>43080</v>
      </c>
      <c r="C482" s="292" t="s">
        <v>1659</v>
      </c>
      <c r="D482" s="293" t="s">
        <v>139</v>
      </c>
      <c r="E482" s="293" t="str">
        <f t="shared" si="7"/>
        <v>Q</v>
      </c>
      <c r="F482" s="293" t="s">
        <v>126</v>
      </c>
      <c r="G482" s="294">
        <v>600</v>
      </c>
      <c r="H482" s="292" t="s">
        <v>97</v>
      </c>
      <c r="I482" s="292" t="s">
        <v>1660</v>
      </c>
      <c r="J482" s="293" t="s">
        <v>361</v>
      </c>
      <c r="K482" s="293"/>
      <c r="L482" s="293" t="s">
        <v>2205</v>
      </c>
      <c r="M482" s="293" t="s">
        <v>2122</v>
      </c>
      <c r="N482" s="295">
        <v>1279</v>
      </c>
      <c r="O482" s="296" t="s">
        <v>673</v>
      </c>
      <c r="P482" s="295">
        <v>0</v>
      </c>
      <c r="Q482" s="295">
        <v>0</v>
      </c>
      <c r="R482" s="295">
        <v>0</v>
      </c>
      <c r="S482" s="295">
        <v>1248</v>
      </c>
      <c r="T482" s="295">
        <v>1248</v>
      </c>
      <c r="U482" s="295">
        <v>30</v>
      </c>
      <c r="V482" s="295">
        <v>10</v>
      </c>
      <c r="W482" s="295">
        <v>5.5</v>
      </c>
      <c r="X482" s="295">
        <v>5</v>
      </c>
      <c r="Y482" s="295">
        <v>18</v>
      </c>
      <c r="Z482" s="295">
        <v>15</v>
      </c>
      <c r="AA482" s="295">
        <v>70</v>
      </c>
      <c r="AB482" s="295">
        <v>0</v>
      </c>
      <c r="AC482" s="295">
        <v>0</v>
      </c>
      <c r="AD482" s="295">
        <v>0</v>
      </c>
      <c r="AE482" s="295">
        <v>0</v>
      </c>
      <c r="AF482" s="295">
        <v>0</v>
      </c>
      <c r="AG482" s="295">
        <v>0</v>
      </c>
      <c r="AH482" s="295">
        <v>1401.5</v>
      </c>
      <c r="AI482" s="362"/>
    </row>
    <row r="483" spans="1:35">
      <c r="A483" s="291">
        <v>31977</v>
      </c>
      <c r="B483" s="291">
        <v>42912</v>
      </c>
      <c r="C483" s="292" t="s">
        <v>1662</v>
      </c>
      <c r="D483" s="293" t="s">
        <v>180</v>
      </c>
      <c r="E483" s="293" t="str">
        <f t="shared" si="7"/>
        <v>Q</v>
      </c>
      <c r="F483" s="293" t="s">
        <v>126</v>
      </c>
      <c r="G483" s="294">
        <v>825</v>
      </c>
      <c r="H483" s="292" t="s">
        <v>97</v>
      </c>
      <c r="I483" s="292" t="s">
        <v>1903</v>
      </c>
      <c r="J483" s="293" t="s">
        <v>400</v>
      </c>
      <c r="K483" s="293"/>
      <c r="L483" s="293" t="s">
        <v>400</v>
      </c>
      <c r="M483" s="293" t="s">
        <v>1904</v>
      </c>
      <c r="N483" s="295">
        <v>1389</v>
      </c>
      <c r="O483" s="296" t="s">
        <v>673</v>
      </c>
      <c r="P483" s="295">
        <v>0</v>
      </c>
      <c r="Q483" s="295">
        <v>0</v>
      </c>
      <c r="R483" s="295">
        <v>0</v>
      </c>
      <c r="S483" s="295">
        <v>1329</v>
      </c>
      <c r="T483" s="295">
        <v>1329</v>
      </c>
      <c r="U483" s="295">
        <v>30</v>
      </c>
      <c r="V483" s="295">
        <v>10</v>
      </c>
      <c r="W483" s="295">
        <v>5.5</v>
      </c>
      <c r="X483" s="295">
        <v>5</v>
      </c>
      <c r="Y483" s="295">
        <v>18</v>
      </c>
      <c r="Z483" s="295">
        <v>0</v>
      </c>
      <c r="AA483" s="295">
        <v>70</v>
      </c>
      <c r="AB483" s="295">
        <v>0</v>
      </c>
      <c r="AC483" s="295">
        <v>0</v>
      </c>
      <c r="AD483" s="295">
        <v>0</v>
      </c>
      <c r="AE483" s="295">
        <v>0</v>
      </c>
      <c r="AF483" s="295">
        <v>0</v>
      </c>
      <c r="AG483" s="295">
        <v>0</v>
      </c>
      <c r="AH483" s="295">
        <v>1467.5</v>
      </c>
      <c r="AI483" s="362"/>
    </row>
    <row r="484" spans="1:35">
      <c r="A484" s="291">
        <v>32075</v>
      </c>
      <c r="B484" s="291">
        <v>43105</v>
      </c>
      <c r="C484" s="292" t="s">
        <v>1663</v>
      </c>
      <c r="D484" s="293" t="s">
        <v>180</v>
      </c>
      <c r="E484" s="293" t="str">
        <f t="shared" si="7"/>
        <v>Q</v>
      </c>
      <c r="F484" s="293" t="s">
        <v>126</v>
      </c>
      <c r="G484" s="294">
        <v>825</v>
      </c>
      <c r="H484" s="292" t="s">
        <v>97</v>
      </c>
      <c r="I484" s="292" t="s">
        <v>2040</v>
      </c>
      <c r="J484" s="293" t="s">
        <v>830</v>
      </c>
      <c r="K484" s="293"/>
      <c r="L484" s="293" t="s">
        <v>830</v>
      </c>
      <c r="M484" s="293" t="s">
        <v>2041</v>
      </c>
      <c r="N484" s="295">
        <v>1389</v>
      </c>
      <c r="O484" s="296" t="s">
        <v>673</v>
      </c>
      <c r="P484" s="295">
        <v>0</v>
      </c>
      <c r="Q484" s="295">
        <v>0</v>
      </c>
      <c r="R484" s="295">
        <v>0</v>
      </c>
      <c r="S484" s="295">
        <v>1199</v>
      </c>
      <c r="T484" s="295">
        <v>1199</v>
      </c>
      <c r="U484" s="295">
        <v>30</v>
      </c>
      <c r="V484" s="295">
        <v>10</v>
      </c>
      <c r="W484" s="295">
        <v>5</v>
      </c>
      <c r="X484" s="295">
        <v>5</v>
      </c>
      <c r="Y484" s="295">
        <v>18</v>
      </c>
      <c r="Z484" s="295">
        <v>15</v>
      </c>
      <c r="AA484" s="295">
        <v>70</v>
      </c>
      <c r="AB484" s="295">
        <v>0</v>
      </c>
      <c r="AC484" s="295">
        <v>0</v>
      </c>
      <c r="AD484" s="295">
        <v>0</v>
      </c>
      <c r="AE484" s="295">
        <v>0</v>
      </c>
      <c r="AF484" s="295">
        <v>0</v>
      </c>
      <c r="AG484" s="295">
        <v>0</v>
      </c>
      <c r="AH484" s="295">
        <v>1352</v>
      </c>
      <c r="AI484" s="362"/>
    </row>
    <row r="485" spans="1:35">
      <c r="A485" s="291">
        <v>31519</v>
      </c>
      <c r="B485" s="291">
        <v>42765</v>
      </c>
      <c r="C485" s="292" t="s">
        <v>1665</v>
      </c>
      <c r="D485" s="293" t="s">
        <v>180</v>
      </c>
      <c r="E485" s="293" t="str">
        <f t="shared" si="7"/>
        <v>Q</v>
      </c>
      <c r="F485" s="293" t="s">
        <v>126</v>
      </c>
      <c r="G485" s="294">
        <v>825</v>
      </c>
      <c r="H485" s="292" t="s">
        <v>97</v>
      </c>
      <c r="I485" s="292" t="s">
        <v>1666</v>
      </c>
      <c r="J485" s="293" t="s">
        <v>1667</v>
      </c>
      <c r="K485" s="293"/>
      <c r="L485" s="293" t="s">
        <v>1113</v>
      </c>
      <c r="M485" s="293" t="s">
        <v>503</v>
      </c>
      <c r="N485" s="295">
        <v>1389</v>
      </c>
      <c r="O485" s="296" t="s">
        <v>673</v>
      </c>
      <c r="P485" s="295">
        <v>0</v>
      </c>
      <c r="Q485" s="295">
        <v>0</v>
      </c>
      <c r="R485" s="295">
        <v>0</v>
      </c>
      <c r="S485" s="295">
        <v>1419</v>
      </c>
      <c r="T485" s="295">
        <v>1419</v>
      </c>
      <c r="U485" s="295">
        <v>30</v>
      </c>
      <c r="V485" s="295">
        <v>10</v>
      </c>
      <c r="W485" s="295">
        <v>5.5</v>
      </c>
      <c r="X485" s="295">
        <v>5</v>
      </c>
      <c r="Y485" s="295">
        <v>18</v>
      </c>
      <c r="Z485" s="295">
        <v>0</v>
      </c>
      <c r="AA485" s="295">
        <v>0</v>
      </c>
      <c r="AB485" s="295">
        <v>0</v>
      </c>
      <c r="AC485" s="295">
        <v>0</v>
      </c>
      <c r="AD485" s="295">
        <v>0</v>
      </c>
      <c r="AE485" s="295">
        <v>0</v>
      </c>
      <c r="AF485" s="295">
        <v>0</v>
      </c>
      <c r="AG485" s="295">
        <v>0</v>
      </c>
      <c r="AH485" s="295">
        <v>1487.5</v>
      </c>
      <c r="AI485" s="362"/>
    </row>
    <row r="486" spans="1:35">
      <c r="A486" s="291">
        <v>32074</v>
      </c>
      <c r="B486" s="291">
        <v>43103</v>
      </c>
      <c r="C486" s="292" t="s">
        <v>1668</v>
      </c>
      <c r="D486" s="293" t="s">
        <v>171</v>
      </c>
      <c r="E486" s="293" t="str">
        <f t="shared" si="7"/>
        <v>F</v>
      </c>
      <c r="F486" s="293" t="s">
        <v>126</v>
      </c>
      <c r="G486" s="294">
        <v>825</v>
      </c>
      <c r="H486" s="292" t="s">
        <v>97</v>
      </c>
      <c r="I486" s="292" t="s">
        <v>2042</v>
      </c>
      <c r="J486" s="293" t="s">
        <v>461</v>
      </c>
      <c r="K486" s="293"/>
      <c r="L486" s="293" t="s">
        <v>461</v>
      </c>
      <c r="M486" s="293" t="s">
        <v>2022</v>
      </c>
      <c r="N486" s="295">
        <v>1279</v>
      </c>
      <c r="O486" s="296" t="s">
        <v>673</v>
      </c>
      <c r="P486" s="295">
        <v>0</v>
      </c>
      <c r="Q486" s="295">
        <v>0</v>
      </c>
      <c r="R486" s="295">
        <v>-1234.23</v>
      </c>
      <c r="S486" s="295">
        <v>1069</v>
      </c>
      <c r="T486" s="295">
        <v>1069</v>
      </c>
      <c r="U486" s="295">
        <v>30</v>
      </c>
      <c r="V486" s="295">
        <v>10</v>
      </c>
      <c r="W486" s="295">
        <v>5</v>
      </c>
      <c r="X486" s="295">
        <v>5</v>
      </c>
      <c r="Y486" s="295">
        <v>18</v>
      </c>
      <c r="Z486" s="295">
        <v>0</v>
      </c>
      <c r="AA486" s="295">
        <v>70</v>
      </c>
      <c r="AB486" s="295">
        <v>0</v>
      </c>
      <c r="AC486" s="295">
        <v>0</v>
      </c>
      <c r="AD486" s="295">
        <v>0</v>
      </c>
      <c r="AE486" s="295">
        <v>0</v>
      </c>
      <c r="AF486" s="295">
        <v>0</v>
      </c>
      <c r="AG486" s="295">
        <v>0</v>
      </c>
      <c r="AH486" s="295">
        <v>1207</v>
      </c>
      <c r="AI486" s="362"/>
    </row>
    <row r="487" spans="1:35">
      <c r="A487" s="291">
        <v>31931</v>
      </c>
      <c r="B487" s="291">
        <v>43179</v>
      </c>
      <c r="C487" s="292" t="s">
        <v>1669</v>
      </c>
      <c r="D487" s="293" t="s">
        <v>180</v>
      </c>
      <c r="E487" s="293" t="str">
        <f t="shared" si="7"/>
        <v>Q</v>
      </c>
      <c r="F487" s="293" t="s">
        <v>126</v>
      </c>
      <c r="G487" s="294">
        <v>825</v>
      </c>
      <c r="H487" s="292" t="s">
        <v>97</v>
      </c>
      <c r="I487" s="292" t="s">
        <v>866</v>
      </c>
      <c r="J487" s="293" t="s">
        <v>1311</v>
      </c>
      <c r="K487" s="293"/>
      <c r="L487" s="293" t="s">
        <v>1311</v>
      </c>
      <c r="M487" s="293" t="s">
        <v>1941</v>
      </c>
      <c r="N487" s="295">
        <v>1389</v>
      </c>
      <c r="O487" s="296" t="s">
        <v>673</v>
      </c>
      <c r="P487" s="295">
        <v>0</v>
      </c>
      <c r="Q487" s="295">
        <v>0</v>
      </c>
      <c r="R487" s="295">
        <v>37.92</v>
      </c>
      <c r="S487" s="295">
        <v>1319</v>
      </c>
      <c r="T487" s="295">
        <v>1319</v>
      </c>
      <c r="U487" s="295">
        <v>30</v>
      </c>
      <c r="V487" s="295">
        <v>10</v>
      </c>
      <c r="W487" s="295">
        <v>5.5</v>
      </c>
      <c r="X487" s="295">
        <v>5</v>
      </c>
      <c r="Y487" s="295">
        <v>18</v>
      </c>
      <c r="Z487" s="295">
        <v>30</v>
      </c>
      <c r="AA487" s="295">
        <v>70</v>
      </c>
      <c r="AB487" s="295">
        <v>0</v>
      </c>
      <c r="AC487" s="295">
        <v>75</v>
      </c>
      <c r="AD487" s="295">
        <v>0</v>
      </c>
      <c r="AE487" s="295">
        <v>0</v>
      </c>
      <c r="AF487" s="295">
        <v>0</v>
      </c>
      <c r="AG487" s="295">
        <v>0</v>
      </c>
      <c r="AH487" s="295">
        <v>1562.5</v>
      </c>
      <c r="AI487" s="362"/>
    </row>
    <row r="488" spans="1:35">
      <c r="A488" s="291">
        <v>31997</v>
      </c>
      <c r="B488" s="291">
        <v>42936</v>
      </c>
      <c r="C488" s="292" t="s">
        <v>1670</v>
      </c>
      <c r="D488" s="293" t="s">
        <v>180</v>
      </c>
      <c r="E488" s="293" t="str">
        <f t="shared" si="7"/>
        <v>Q</v>
      </c>
      <c r="F488" s="293" t="s">
        <v>126</v>
      </c>
      <c r="G488" s="294">
        <v>825</v>
      </c>
      <c r="H488" s="292" t="s">
        <v>97</v>
      </c>
      <c r="I488" s="292" t="s">
        <v>1906</v>
      </c>
      <c r="J488" s="293" t="s">
        <v>431</v>
      </c>
      <c r="K488" s="293"/>
      <c r="L488" s="293" t="s">
        <v>431</v>
      </c>
      <c r="M488" s="293" t="s">
        <v>1817</v>
      </c>
      <c r="N488" s="295">
        <v>1389</v>
      </c>
      <c r="O488" s="296" t="s">
        <v>673</v>
      </c>
      <c r="P488" s="295">
        <v>0</v>
      </c>
      <c r="Q488" s="295">
        <v>0</v>
      </c>
      <c r="R488" s="295">
        <v>36.32</v>
      </c>
      <c r="S488" s="295">
        <v>1349</v>
      </c>
      <c r="T488" s="295">
        <v>1349</v>
      </c>
      <c r="U488" s="295">
        <v>30</v>
      </c>
      <c r="V488" s="295">
        <v>10</v>
      </c>
      <c r="W488" s="295">
        <v>5.5</v>
      </c>
      <c r="X488" s="295">
        <v>5</v>
      </c>
      <c r="Y488" s="295">
        <v>18</v>
      </c>
      <c r="Z488" s="295">
        <v>15</v>
      </c>
      <c r="AA488" s="295">
        <v>70</v>
      </c>
      <c r="AB488" s="295">
        <v>0</v>
      </c>
      <c r="AC488" s="295">
        <v>0</v>
      </c>
      <c r="AD488" s="295">
        <v>0</v>
      </c>
      <c r="AE488" s="295">
        <v>0</v>
      </c>
      <c r="AF488" s="295">
        <v>0</v>
      </c>
      <c r="AG488" s="295">
        <v>0</v>
      </c>
      <c r="AH488" s="295">
        <v>1502.5</v>
      </c>
      <c r="AI488" s="362"/>
    </row>
    <row r="489" spans="1:35">
      <c r="A489" s="291">
        <v>11270</v>
      </c>
      <c r="B489" s="291">
        <v>43157</v>
      </c>
      <c r="C489" s="292" t="s">
        <v>1671</v>
      </c>
      <c r="D489" s="293" t="s">
        <v>180</v>
      </c>
      <c r="E489" s="293" t="str">
        <f t="shared" si="7"/>
        <v>Q</v>
      </c>
      <c r="F489" s="293" t="s">
        <v>126</v>
      </c>
      <c r="G489" s="294">
        <v>825</v>
      </c>
      <c r="H489" s="292" t="s">
        <v>97</v>
      </c>
      <c r="I489" s="292" t="s">
        <v>1672</v>
      </c>
      <c r="J489" s="293" t="s">
        <v>1458</v>
      </c>
      <c r="K489" s="293"/>
      <c r="L489" s="293" t="s">
        <v>491</v>
      </c>
      <c r="M489" s="293" t="s">
        <v>1957</v>
      </c>
      <c r="N489" s="295">
        <v>1389</v>
      </c>
      <c r="O489" s="296" t="s">
        <v>673</v>
      </c>
      <c r="P489" s="295">
        <v>0</v>
      </c>
      <c r="Q489" s="295">
        <v>0</v>
      </c>
      <c r="R489" s="295">
        <v>0</v>
      </c>
      <c r="S489" s="295">
        <v>1378</v>
      </c>
      <c r="T489" s="295">
        <v>1378</v>
      </c>
      <c r="U489" s="295">
        <v>30</v>
      </c>
      <c r="V489" s="295">
        <v>10</v>
      </c>
      <c r="W489" s="295">
        <v>5.5</v>
      </c>
      <c r="X489" s="295">
        <v>5</v>
      </c>
      <c r="Y489" s="295">
        <v>18</v>
      </c>
      <c r="Z489" s="295">
        <v>15</v>
      </c>
      <c r="AA489" s="295">
        <v>70</v>
      </c>
      <c r="AB489" s="295">
        <v>0</v>
      </c>
      <c r="AC489" s="295">
        <v>0</v>
      </c>
      <c r="AD489" s="295">
        <v>0</v>
      </c>
      <c r="AE489" s="295">
        <v>0</v>
      </c>
      <c r="AF489" s="295">
        <v>0</v>
      </c>
      <c r="AG489" s="295">
        <v>0</v>
      </c>
      <c r="AH489" s="295">
        <v>1531.5</v>
      </c>
      <c r="AI489" s="362"/>
    </row>
    <row r="490" spans="1:35">
      <c r="A490" s="291">
        <v>31770</v>
      </c>
      <c r="B490" s="291">
        <v>42529</v>
      </c>
      <c r="C490" s="292" t="s">
        <v>1673</v>
      </c>
      <c r="D490" s="293" t="s">
        <v>180</v>
      </c>
      <c r="E490" s="293" t="str">
        <f t="shared" si="7"/>
        <v>Q</v>
      </c>
      <c r="F490" s="293" t="s">
        <v>126</v>
      </c>
      <c r="G490" s="294">
        <v>825</v>
      </c>
      <c r="H490" s="292" t="s">
        <v>97</v>
      </c>
      <c r="I490" s="292" t="s">
        <v>1674</v>
      </c>
      <c r="J490" s="293" t="s">
        <v>1150</v>
      </c>
      <c r="K490" s="293"/>
      <c r="L490" s="293" t="s">
        <v>1150</v>
      </c>
      <c r="M490" s="293" t="s">
        <v>492</v>
      </c>
      <c r="N490" s="295">
        <v>1389</v>
      </c>
      <c r="O490" s="296" t="s">
        <v>673</v>
      </c>
      <c r="P490" s="295">
        <v>0</v>
      </c>
      <c r="Q490" s="295">
        <v>0</v>
      </c>
      <c r="R490" s="295">
        <v>-250</v>
      </c>
      <c r="S490" s="295">
        <v>1369</v>
      </c>
      <c r="T490" s="295">
        <v>1369</v>
      </c>
      <c r="U490" s="295">
        <v>30</v>
      </c>
      <c r="V490" s="295">
        <v>10</v>
      </c>
      <c r="W490" s="295">
        <v>5.5</v>
      </c>
      <c r="X490" s="295">
        <v>5</v>
      </c>
      <c r="Y490" s="295">
        <v>18</v>
      </c>
      <c r="Z490" s="295">
        <v>0</v>
      </c>
      <c r="AA490" s="295">
        <v>70</v>
      </c>
      <c r="AB490" s="295">
        <v>0</v>
      </c>
      <c r="AC490" s="295">
        <v>0</v>
      </c>
      <c r="AD490" s="295">
        <v>0</v>
      </c>
      <c r="AE490" s="295">
        <v>0</v>
      </c>
      <c r="AF490" s="295">
        <v>0</v>
      </c>
      <c r="AG490" s="295">
        <v>0</v>
      </c>
      <c r="AH490" s="295">
        <v>1507.5</v>
      </c>
      <c r="AI490" s="362"/>
    </row>
    <row r="491" spans="1:35">
      <c r="A491" s="291">
        <v>31770</v>
      </c>
      <c r="B491" s="291">
        <v>43298</v>
      </c>
      <c r="C491" s="292" t="s">
        <v>1673</v>
      </c>
      <c r="D491" s="293" t="s">
        <v>180</v>
      </c>
      <c r="E491" s="293" t="str">
        <f t="shared" si="7"/>
        <v>Q</v>
      </c>
      <c r="F491" s="293" t="s">
        <v>126</v>
      </c>
      <c r="G491" s="294">
        <v>825</v>
      </c>
      <c r="H491" s="292" t="s">
        <v>2096</v>
      </c>
      <c r="I491" s="292" t="s">
        <v>1674</v>
      </c>
      <c r="J491" s="293" t="s">
        <v>1150</v>
      </c>
      <c r="K491" s="293"/>
      <c r="L491" s="293" t="s">
        <v>966</v>
      </c>
      <c r="M491" s="293" t="s">
        <v>2086</v>
      </c>
      <c r="N491" s="295">
        <v>0</v>
      </c>
      <c r="O491" s="296" t="s">
        <v>673</v>
      </c>
      <c r="P491" s="295">
        <v>0</v>
      </c>
      <c r="Q491" s="295">
        <v>0</v>
      </c>
      <c r="R491" s="295">
        <v>0</v>
      </c>
      <c r="S491" s="295">
        <v>1389</v>
      </c>
      <c r="T491" s="295">
        <v>1389</v>
      </c>
      <c r="U491" s="295">
        <v>30</v>
      </c>
      <c r="V491" s="295">
        <v>10</v>
      </c>
      <c r="W491" s="295">
        <v>5.5</v>
      </c>
      <c r="X491" s="295">
        <v>5</v>
      </c>
      <c r="Y491" s="295">
        <v>18</v>
      </c>
      <c r="Z491" s="295">
        <v>0</v>
      </c>
      <c r="AA491" s="295">
        <v>70</v>
      </c>
      <c r="AB491" s="295">
        <v>0</v>
      </c>
      <c r="AC491" s="295">
        <v>0</v>
      </c>
      <c r="AD491" s="295">
        <v>0</v>
      </c>
      <c r="AE491" s="295">
        <v>0</v>
      </c>
      <c r="AF491" s="295">
        <v>0</v>
      </c>
      <c r="AG491" s="295">
        <v>0</v>
      </c>
      <c r="AH491" s="295">
        <v>1527.5</v>
      </c>
      <c r="AI491" s="362"/>
    </row>
    <row r="492" spans="1:35">
      <c r="A492" s="291">
        <v>31753</v>
      </c>
      <c r="B492" s="291">
        <v>42830</v>
      </c>
      <c r="C492" s="292" t="s">
        <v>1675</v>
      </c>
      <c r="D492" s="293" t="s">
        <v>279</v>
      </c>
      <c r="E492" s="293" t="str">
        <f t="shared" si="7"/>
        <v>G</v>
      </c>
      <c r="F492" s="293" t="s">
        <v>126</v>
      </c>
      <c r="G492" s="294">
        <v>600</v>
      </c>
      <c r="H492" s="292" t="s">
        <v>97</v>
      </c>
      <c r="I492" s="292" t="s">
        <v>1676</v>
      </c>
      <c r="J492" s="293" t="s">
        <v>353</v>
      </c>
      <c r="K492" s="293"/>
      <c r="L492" s="293" t="s">
        <v>1826</v>
      </c>
      <c r="M492" s="293" t="s">
        <v>1792</v>
      </c>
      <c r="N492" s="295">
        <v>1239</v>
      </c>
      <c r="O492" s="296" t="s">
        <v>673</v>
      </c>
      <c r="P492" s="295">
        <v>0</v>
      </c>
      <c r="Q492" s="295">
        <v>0</v>
      </c>
      <c r="R492" s="295">
        <v>0</v>
      </c>
      <c r="S492" s="295">
        <v>1294</v>
      </c>
      <c r="T492" s="295">
        <v>1294</v>
      </c>
      <c r="U492" s="295">
        <v>30</v>
      </c>
      <c r="V492" s="295">
        <v>10</v>
      </c>
      <c r="W492" s="295">
        <v>5.5</v>
      </c>
      <c r="X492" s="295">
        <v>5</v>
      </c>
      <c r="Y492" s="295">
        <v>18</v>
      </c>
      <c r="Z492" s="295">
        <v>0</v>
      </c>
      <c r="AA492" s="295">
        <v>70</v>
      </c>
      <c r="AB492" s="295">
        <v>0</v>
      </c>
      <c r="AC492" s="295">
        <v>0</v>
      </c>
      <c r="AD492" s="295">
        <v>0</v>
      </c>
      <c r="AE492" s="295">
        <v>0</v>
      </c>
      <c r="AF492" s="295">
        <v>0</v>
      </c>
      <c r="AG492" s="295">
        <v>0</v>
      </c>
      <c r="AH492" s="295">
        <v>1432.5</v>
      </c>
      <c r="AI492" s="362"/>
    </row>
    <row r="493" spans="1:35">
      <c r="A493" s="291">
        <v>11021</v>
      </c>
      <c r="B493" s="291">
        <v>43047</v>
      </c>
      <c r="C493" s="292" t="s">
        <v>1677</v>
      </c>
      <c r="D493" s="293" t="s">
        <v>129</v>
      </c>
      <c r="E493" s="293" t="str">
        <f t="shared" si="7"/>
        <v>F</v>
      </c>
      <c r="F493" s="293" t="s">
        <v>126</v>
      </c>
      <c r="G493" s="294">
        <v>600</v>
      </c>
      <c r="H493" s="292" t="s">
        <v>97</v>
      </c>
      <c r="I493" s="292" t="s">
        <v>1678</v>
      </c>
      <c r="J493" s="293" t="s">
        <v>311</v>
      </c>
      <c r="K493" s="293"/>
      <c r="L493" s="293" t="s">
        <v>457</v>
      </c>
      <c r="M493" s="293" t="s">
        <v>2019</v>
      </c>
      <c r="N493" s="295">
        <v>1169</v>
      </c>
      <c r="O493" s="296" t="s">
        <v>673</v>
      </c>
      <c r="P493" s="295">
        <v>0</v>
      </c>
      <c r="Q493" s="295">
        <v>0</v>
      </c>
      <c r="R493" s="295">
        <v>-70</v>
      </c>
      <c r="S493" s="295">
        <v>1190</v>
      </c>
      <c r="T493" s="295">
        <v>1190</v>
      </c>
      <c r="U493" s="295">
        <v>30</v>
      </c>
      <c r="V493" s="295">
        <v>10</v>
      </c>
      <c r="W493" s="295">
        <v>5.5</v>
      </c>
      <c r="X493" s="295">
        <v>5</v>
      </c>
      <c r="Y493" s="295">
        <v>18</v>
      </c>
      <c r="Z493" s="295">
        <v>0</v>
      </c>
      <c r="AA493" s="295">
        <v>70</v>
      </c>
      <c r="AB493" s="295">
        <v>0</v>
      </c>
      <c r="AC493" s="295">
        <v>0</v>
      </c>
      <c r="AD493" s="295">
        <v>0</v>
      </c>
      <c r="AE493" s="295">
        <v>0</v>
      </c>
      <c r="AF493" s="295">
        <v>0</v>
      </c>
      <c r="AG493" s="295">
        <v>0</v>
      </c>
      <c r="AH493" s="295">
        <v>1328.5</v>
      </c>
      <c r="AI493" s="362"/>
    </row>
    <row r="494" spans="1:35">
      <c r="A494" s="291">
        <v>31743</v>
      </c>
      <c r="B494" s="291">
        <v>43030</v>
      </c>
      <c r="C494" s="292" t="s">
        <v>1679</v>
      </c>
      <c r="D494" s="293" t="s">
        <v>139</v>
      </c>
      <c r="E494" s="293" t="str">
        <f t="shared" si="7"/>
        <v>Q</v>
      </c>
      <c r="F494" s="293" t="s">
        <v>126</v>
      </c>
      <c r="G494" s="294">
        <v>600</v>
      </c>
      <c r="H494" s="292" t="s">
        <v>97</v>
      </c>
      <c r="I494" s="292" t="s">
        <v>1680</v>
      </c>
      <c r="J494" s="293" t="s">
        <v>350</v>
      </c>
      <c r="K494" s="293"/>
      <c r="L494" s="293" t="s">
        <v>1938</v>
      </c>
      <c r="M494" s="293" t="s">
        <v>1939</v>
      </c>
      <c r="N494" s="295">
        <v>1279</v>
      </c>
      <c r="O494" s="296" t="s">
        <v>673</v>
      </c>
      <c r="P494" s="295">
        <v>0</v>
      </c>
      <c r="Q494" s="295">
        <v>0</v>
      </c>
      <c r="R494" s="295">
        <v>0</v>
      </c>
      <c r="S494" s="295">
        <v>1398</v>
      </c>
      <c r="T494" s="295">
        <v>1398</v>
      </c>
      <c r="U494" s="295">
        <v>30</v>
      </c>
      <c r="V494" s="295">
        <v>10</v>
      </c>
      <c r="W494" s="295">
        <v>5.5</v>
      </c>
      <c r="X494" s="295">
        <v>5</v>
      </c>
      <c r="Y494" s="295">
        <v>18</v>
      </c>
      <c r="Z494" s="295">
        <v>0</v>
      </c>
      <c r="AA494" s="295">
        <v>70</v>
      </c>
      <c r="AB494" s="295">
        <v>35</v>
      </c>
      <c r="AC494" s="295">
        <v>0</v>
      </c>
      <c r="AD494" s="295">
        <v>0</v>
      </c>
      <c r="AE494" s="295">
        <v>0</v>
      </c>
      <c r="AF494" s="295">
        <v>0</v>
      </c>
      <c r="AG494" s="295">
        <v>0</v>
      </c>
      <c r="AH494" s="295">
        <v>1571.5</v>
      </c>
      <c r="AI494" s="362"/>
    </row>
    <row r="495" spans="1:35">
      <c r="A495" s="291">
        <v>32142</v>
      </c>
      <c r="B495" s="291">
        <v>43219</v>
      </c>
      <c r="C495" s="292" t="s">
        <v>1681</v>
      </c>
      <c r="D495" s="293" t="s">
        <v>139</v>
      </c>
      <c r="E495" s="293" t="str">
        <f t="shared" si="7"/>
        <v>Q</v>
      </c>
      <c r="F495" s="293" t="s">
        <v>126</v>
      </c>
      <c r="G495" s="294">
        <v>600</v>
      </c>
      <c r="H495" s="292" t="s">
        <v>97</v>
      </c>
      <c r="I495" s="292" t="s">
        <v>2206</v>
      </c>
      <c r="J495" s="293" t="s">
        <v>476</v>
      </c>
      <c r="K495" s="293"/>
      <c r="L495" s="293" t="s">
        <v>476</v>
      </c>
      <c r="M495" s="293" t="s">
        <v>2110</v>
      </c>
      <c r="N495" s="295">
        <v>1169</v>
      </c>
      <c r="O495" s="296" t="s">
        <v>673</v>
      </c>
      <c r="P495" s="295">
        <v>0</v>
      </c>
      <c r="Q495" s="295">
        <v>0</v>
      </c>
      <c r="R495" s="295">
        <v>0</v>
      </c>
      <c r="S495" s="295">
        <v>1169</v>
      </c>
      <c r="T495" s="295">
        <v>1169</v>
      </c>
      <c r="U495" s="295">
        <v>30</v>
      </c>
      <c r="V495" s="295">
        <v>10</v>
      </c>
      <c r="W495" s="295">
        <v>5.5</v>
      </c>
      <c r="X495" s="295">
        <v>5</v>
      </c>
      <c r="Y495" s="295">
        <v>18</v>
      </c>
      <c r="Z495" s="295">
        <v>0</v>
      </c>
      <c r="AA495" s="295">
        <v>70</v>
      </c>
      <c r="AB495" s="295">
        <v>35</v>
      </c>
      <c r="AC495" s="295">
        <v>0</v>
      </c>
      <c r="AD495" s="295">
        <v>0</v>
      </c>
      <c r="AE495" s="295">
        <v>-1000</v>
      </c>
      <c r="AF495" s="295">
        <v>0</v>
      </c>
      <c r="AG495" s="295">
        <v>0</v>
      </c>
      <c r="AH495" s="295">
        <v>342.5</v>
      </c>
      <c r="AI495" s="362"/>
    </row>
    <row r="496" spans="1:35">
      <c r="A496" s="291">
        <v>31678</v>
      </c>
      <c r="B496" s="291">
        <v>42943</v>
      </c>
      <c r="C496" s="292" t="s">
        <v>1682</v>
      </c>
      <c r="D496" s="293" t="s">
        <v>139</v>
      </c>
      <c r="E496" s="293" t="str">
        <f t="shared" si="7"/>
        <v>Q</v>
      </c>
      <c r="F496" s="293" t="s">
        <v>126</v>
      </c>
      <c r="G496" s="294">
        <v>600</v>
      </c>
      <c r="H496" s="292" t="s">
        <v>97</v>
      </c>
      <c r="I496" s="292" t="s">
        <v>1683</v>
      </c>
      <c r="J496" s="293" t="s">
        <v>876</v>
      </c>
      <c r="K496" s="293"/>
      <c r="L496" s="293" t="s">
        <v>1955</v>
      </c>
      <c r="M496" s="293" t="s">
        <v>1969</v>
      </c>
      <c r="N496" s="295">
        <v>1279</v>
      </c>
      <c r="O496" s="296" t="s">
        <v>673</v>
      </c>
      <c r="P496" s="295">
        <v>0</v>
      </c>
      <c r="Q496" s="295">
        <v>0</v>
      </c>
      <c r="R496" s="295">
        <v>-119.49</v>
      </c>
      <c r="S496" s="295">
        <v>1279</v>
      </c>
      <c r="T496" s="295">
        <v>1279</v>
      </c>
      <c r="U496" s="295">
        <v>30</v>
      </c>
      <c r="V496" s="295">
        <v>10</v>
      </c>
      <c r="W496" s="295">
        <v>5.5</v>
      </c>
      <c r="X496" s="295">
        <v>5</v>
      </c>
      <c r="Y496" s="295">
        <v>18</v>
      </c>
      <c r="Z496" s="295">
        <v>15</v>
      </c>
      <c r="AA496" s="295">
        <v>70</v>
      </c>
      <c r="AB496" s="295">
        <v>0</v>
      </c>
      <c r="AC496" s="295">
        <v>0</v>
      </c>
      <c r="AD496" s="295">
        <v>0</v>
      </c>
      <c r="AE496" s="295">
        <v>0</v>
      </c>
      <c r="AF496" s="295">
        <v>0</v>
      </c>
      <c r="AG496" s="295">
        <v>0</v>
      </c>
      <c r="AH496" s="295">
        <v>1432.5</v>
      </c>
      <c r="AI496" s="362"/>
    </row>
    <row r="497" spans="1:35">
      <c r="A497" s="291">
        <v>31941</v>
      </c>
      <c r="B497" s="291">
        <v>42844</v>
      </c>
      <c r="C497" s="292" t="s">
        <v>1684</v>
      </c>
      <c r="D497" s="293" t="s">
        <v>129</v>
      </c>
      <c r="E497" s="293" t="str">
        <f t="shared" si="7"/>
        <v>F</v>
      </c>
      <c r="F497" s="293" t="s">
        <v>126</v>
      </c>
      <c r="G497" s="294">
        <v>600</v>
      </c>
      <c r="H497" s="292" t="s">
        <v>97</v>
      </c>
      <c r="I497" s="292" t="s">
        <v>1907</v>
      </c>
      <c r="J497" s="293" t="s">
        <v>784</v>
      </c>
      <c r="K497" s="293"/>
      <c r="L497" s="293" t="s">
        <v>784</v>
      </c>
      <c r="M497" s="293" t="s">
        <v>1908</v>
      </c>
      <c r="N497" s="295">
        <v>1169</v>
      </c>
      <c r="O497" s="296" t="s">
        <v>673</v>
      </c>
      <c r="P497" s="295">
        <v>0</v>
      </c>
      <c r="Q497" s="295">
        <v>0</v>
      </c>
      <c r="R497" s="295">
        <v>0</v>
      </c>
      <c r="S497" s="295">
        <v>1199</v>
      </c>
      <c r="T497" s="295">
        <v>1199</v>
      </c>
      <c r="U497" s="295">
        <v>30</v>
      </c>
      <c r="V497" s="295">
        <v>10</v>
      </c>
      <c r="W497" s="295">
        <v>5.5</v>
      </c>
      <c r="X497" s="295">
        <v>5</v>
      </c>
      <c r="Y497" s="295">
        <v>18</v>
      </c>
      <c r="Z497" s="295">
        <v>0</v>
      </c>
      <c r="AA497" s="295">
        <v>70</v>
      </c>
      <c r="AB497" s="295">
        <v>0</v>
      </c>
      <c r="AC497" s="295">
        <v>0</v>
      </c>
      <c r="AD497" s="295">
        <v>0</v>
      </c>
      <c r="AE497" s="295">
        <v>0</v>
      </c>
      <c r="AF497" s="295">
        <v>0</v>
      </c>
      <c r="AG497" s="295">
        <v>0</v>
      </c>
      <c r="AH497" s="295">
        <v>1337.5</v>
      </c>
      <c r="AI497" s="362"/>
    </row>
    <row r="498" spans="1:35">
      <c r="A498" s="291">
        <v>11007</v>
      </c>
      <c r="B498" s="291">
        <v>42637</v>
      </c>
      <c r="C498" s="292" t="s">
        <v>1685</v>
      </c>
      <c r="D498" s="293" t="s">
        <v>279</v>
      </c>
      <c r="E498" s="293" t="str">
        <f t="shared" si="7"/>
        <v>G</v>
      </c>
      <c r="F498" s="293" t="s">
        <v>126</v>
      </c>
      <c r="G498" s="294">
        <v>600</v>
      </c>
      <c r="H498" s="292" t="s">
        <v>142</v>
      </c>
      <c r="I498" s="292" t="s">
        <v>1686</v>
      </c>
      <c r="J498" s="293" t="s">
        <v>1687</v>
      </c>
      <c r="K498" s="293" t="s">
        <v>1688</v>
      </c>
      <c r="L498" s="293" t="s">
        <v>384</v>
      </c>
      <c r="M498" s="293" t="s">
        <v>1688</v>
      </c>
      <c r="N498" s="295">
        <v>1239</v>
      </c>
      <c r="O498" s="296" t="s">
        <v>673</v>
      </c>
      <c r="P498" s="295">
        <v>0</v>
      </c>
      <c r="Q498" s="295">
        <v>0</v>
      </c>
      <c r="R498" s="295">
        <v>0</v>
      </c>
      <c r="S498" s="295">
        <v>1290</v>
      </c>
      <c r="T498" s="295">
        <v>1290</v>
      </c>
      <c r="U498" s="295">
        <v>30</v>
      </c>
      <c r="V498" s="295">
        <v>10</v>
      </c>
      <c r="W498" s="295">
        <v>5.5</v>
      </c>
      <c r="X498" s="295">
        <v>5</v>
      </c>
      <c r="Y498" s="295">
        <v>0</v>
      </c>
      <c r="Z498" s="295">
        <v>0</v>
      </c>
      <c r="AA498" s="295">
        <v>0</v>
      </c>
      <c r="AB498" s="295">
        <v>0</v>
      </c>
      <c r="AC498" s="295">
        <v>0</v>
      </c>
      <c r="AD498" s="295">
        <v>0</v>
      </c>
      <c r="AE498" s="295">
        <v>0</v>
      </c>
      <c r="AF498" s="295">
        <v>0</v>
      </c>
      <c r="AG498" s="295">
        <v>0</v>
      </c>
      <c r="AH498" s="295">
        <v>1340.5</v>
      </c>
      <c r="AI498" s="362"/>
    </row>
    <row r="499" spans="1:35">
      <c r="A499" s="291">
        <v>10973</v>
      </c>
      <c r="B499" s="291">
        <v>42689</v>
      </c>
      <c r="C499" s="292" t="s">
        <v>1689</v>
      </c>
      <c r="D499" s="293" t="s">
        <v>129</v>
      </c>
      <c r="E499" s="293" t="str">
        <f t="shared" si="7"/>
        <v>F</v>
      </c>
      <c r="F499" s="293" t="s">
        <v>126</v>
      </c>
      <c r="G499" s="294">
        <v>600</v>
      </c>
      <c r="H499" s="292" t="s">
        <v>97</v>
      </c>
      <c r="I499" s="292" t="s">
        <v>1690</v>
      </c>
      <c r="J499" s="293" t="s">
        <v>1691</v>
      </c>
      <c r="K499" s="293"/>
      <c r="L499" s="293" t="s">
        <v>1185</v>
      </c>
      <c r="M499" s="293" t="s">
        <v>1186</v>
      </c>
      <c r="N499" s="295">
        <v>1169</v>
      </c>
      <c r="O499" s="296" t="s">
        <v>673</v>
      </c>
      <c r="P499" s="295">
        <v>0</v>
      </c>
      <c r="Q499" s="295">
        <v>0</v>
      </c>
      <c r="R499" s="295">
        <v>0</v>
      </c>
      <c r="S499" s="295">
        <v>1190</v>
      </c>
      <c r="T499" s="295">
        <v>1190</v>
      </c>
      <c r="U499" s="295">
        <v>30</v>
      </c>
      <c r="V499" s="295">
        <v>10</v>
      </c>
      <c r="W499" s="295">
        <v>5.5</v>
      </c>
      <c r="X499" s="295">
        <v>5</v>
      </c>
      <c r="Y499" s="295">
        <v>18</v>
      </c>
      <c r="Z499" s="295">
        <v>0</v>
      </c>
      <c r="AA499" s="295">
        <v>0</v>
      </c>
      <c r="AB499" s="295">
        <v>0</v>
      </c>
      <c r="AC499" s="295">
        <v>0</v>
      </c>
      <c r="AD499" s="295">
        <v>0</v>
      </c>
      <c r="AE499" s="295">
        <v>0</v>
      </c>
      <c r="AF499" s="295">
        <v>0</v>
      </c>
      <c r="AG499" s="295">
        <v>0</v>
      </c>
      <c r="AH499" s="295">
        <v>1258.5</v>
      </c>
      <c r="AI499" s="362"/>
    </row>
    <row r="500" spans="1:35">
      <c r="A500" s="291">
        <v>32003</v>
      </c>
      <c r="B500" s="291">
        <v>42951</v>
      </c>
      <c r="C500" s="292" t="s">
        <v>1692</v>
      </c>
      <c r="D500" s="293" t="s">
        <v>281</v>
      </c>
      <c r="E500" s="293" t="str">
        <f t="shared" si="7"/>
        <v>G</v>
      </c>
      <c r="F500" s="293" t="s">
        <v>126</v>
      </c>
      <c r="G500" s="294">
        <v>700</v>
      </c>
      <c r="H500" s="292" t="s">
        <v>97</v>
      </c>
      <c r="I500" s="292" t="s">
        <v>1909</v>
      </c>
      <c r="J500" s="293" t="s">
        <v>1045</v>
      </c>
      <c r="K500" s="293"/>
      <c r="L500" s="293" t="s">
        <v>1045</v>
      </c>
      <c r="M500" s="293" t="s">
        <v>1910</v>
      </c>
      <c r="N500" s="295">
        <v>1289</v>
      </c>
      <c r="O500" s="296" t="s">
        <v>673</v>
      </c>
      <c r="P500" s="295">
        <v>0</v>
      </c>
      <c r="Q500" s="295">
        <v>0</v>
      </c>
      <c r="R500" s="295">
        <v>0</v>
      </c>
      <c r="S500" s="295">
        <v>1319</v>
      </c>
      <c r="T500" s="295">
        <v>1319</v>
      </c>
      <c r="U500" s="295">
        <v>30</v>
      </c>
      <c r="V500" s="295">
        <v>10</v>
      </c>
      <c r="W500" s="295">
        <v>5.5</v>
      </c>
      <c r="X500" s="295">
        <v>5</v>
      </c>
      <c r="Y500" s="295">
        <v>18</v>
      </c>
      <c r="Z500" s="295">
        <v>0</v>
      </c>
      <c r="AA500" s="295">
        <v>70</v>
      </c>
      <c r="AB500" s="295">
        <v>0</v>
      </c>
      <c r="AC500" s="295">
        <v>0</v>
      </c>
      <c r="AD500" s="295">
        <v>0</v>
      </c>
      <c r="AE500" s="295">
        <v>0</v>
      </c>
      <c r="AF500" s="295">
        <v>0</v>
      </c>
      <c r="AG500" s="295">
        <v>0</v>
      </c>
      <c r="AH500" s="295">
        <v>1457.5</v>
      </c>
      <c r="AI500" s="362"/>
    </row>
    <row r="501" spans="1:35">
      <c r="A501" s="291">
        <v>11184</v>
      </c>
      <c r="B501" s="291">
        <v>42839</v>
      </c>
      <c r="C501" s="292" t="s">
        <v>1694</v>
      </c>
      <c r="D501" s="293" t="s">
        <v>164</v>
      </c>
      <c r="E501" s="293" t="str">
        <f t="shared" si="7"/>
        <v>F</v>
      </c>
      <c r="F501" s="293" t="s">
        <v>126</v>
      </c>
      <c r="G501" s="294">
        <v>700</v>
      </c>
      <c r="H501" s="292" t="s">
        <v>97</v>
      </c>
      <c r="I501" s="292" t="s">
        <v>1695</v>
      </c>
      <c r="J501" s="293" t="s">
        <v>1696</v>
      </c>
      <c r="K501" s="293"/>
      <c r="L501" s="293" t="s">
        <v>1911</v>
      </c>
      <c r="M501" s="293" t="s">
        <v>1912</v>
      </c>
      <c r="N501" s="295">
        <v>1219</v>
      </c>
      <c r="O501" s="296" t="s">
        <v>673</v>
      </c>
      <c r="P501" s="295">
        <v>0</v>
      </c>
      <c r="Q501" s="295">
        <v>0</v>
      </c>
      <c r="R501" s="295">
        <v>0</v>
      </c>
      <c r="S501" s="295">
        <v>1249</v>
      </c>
      <c r="T501" s="295">
        <v>1249</v>
      </c>
      <c r="U501" s="295">
        <v>30</v>
      </c>
      <c r="V501" s="295">
        <v>10</v>
      </c>
      <c r="W501" s="295">
        <v>5.5</v>
      </c>
      <c r="X501" s="295">
        <v>5</v>
      </c>
      <c r="Y501" s="295">
        <v>18</v>
      </c>
      <c r="Z501" s="295">
        <v>0</v>
      </c>
      <c r="AA501" s="295">
        <v>70</v>
      </c>
      <c r="AB501" s="295">
        <v>0</v>
      </c>
      <c r="AC501" s="295">
        <v>0</v>
      </c>
      <c r="AD501" s="295">
        <v>0</v>
      </c>
      <c r="AE501" s="295">
        <v>0</v>
      </c>
      <c r="AF501" s="295">
        <v>0</v>
      </c>
      <c r="AG501" s="295">
        <v>0</v>
      </c>
      <c r="AH501" s="295">
        <v>1387.5</v>
      </c>
      <c r="AI501" s="362"/>
    </row>
    <row r="502" spans="1:35">
      <c r="A502" s="291">
        <v>0</v>
      </c>
      <c r="B502" s="291">
        <v>0</v>
      </c>
      <c r="C502" s="292" t="s">
        <v>1697</v>
      </c>
      <c r="D502" s="293" t="s">
        <v>167</v>
      </c>
      <c r="E502" s="293" t="str">
        <f t="shared" si="7"/>
        <v>Q</v>
      </c>
      <c r="F502" s="293" t="s">
        <v>126</v>
      </c>
      <c r="G502" s="294">
        <v>700</v>
      </c>
      <c r="H502" s="292" t="s">
        <v>101</v>
      </c>
      <c r="I502" s="292" t="s">
        <v>682</v>
      </c>
      <c r="J502" s="293"/>
      <c r="K502" s="293"/>
      <c r="L502" s="293"/>
      <c r="M502" s="293"/>
      <c r="N502" s="295">
        <v>1329</v>
      </c>
      <c r="O502" s="296"/>
      <c r="P502" s="295">
        <v>0</v>
      </c>
      <c r="Q502" s="295">
        <v>0</v>
      </c>
      <c r="R502" s="295">
        <v>0</v>
      </c>
      <c r="S502" s="295">
        <v>0</v>
      </c>
      <c r="T502" s="295">
        <v>0</v>
      </c>
      <c r="U502" s="295">
        <v>0</v>
      </c>
      <c r="V502" s="295">
        <v>0</v>
      </c>
      <c r="W502" s="295">
        <v>0</v>
      </c>
      <c r="X502" s="295">
        <v>0</v>
      </c>
      <c r="Y502" s="295">
        <v>0</v>
      </c>
      <c r="Z502" s="295">
        <v>0</v>
      </c>
      <c r="AA502" s="295">
        <v>0</v>
      </c>
      <c r="AB502" s="295">
        <v>0</v>
      </c>
      <c r="AC502" s="295">
        <v>0</v>
      </c>
      <c r="AD502" s="295">
        <v>0</v>
      </c>
      <c r="AE502" s="295">
        <v>0</v>
      </c>
      <c r="AF502" s="295">
        <v>0</v>
      </c>
      <c r="AG502" s="295">
        <v>0</v>
      </c>
      <c r="AH502" s="295">
        <v>0</v>
      </c>
      <c r="AI502" s="363"/>
    </row>
    <row r="503" spans="1:35">
      <c r="A503" s="291">
        <v>0</v>
      </c>
      <c r="B503" s="291">
        <v>0</v>
      </c>
      <c r="C503" s="292" t="s">
        <v>1698</v>
      </c>
      <c r="D503" s="293" t="s">
        <v>281</v>
      </c>
      <c r="E503" s="293" t="str">
        <f t="shared" si="7"/>
        <v>G</v>
      </c>
      <c r="F503" s="293" t="s">
        <v>126</v>
      </c>
      <c r="G503" s="294">
        <v>700</v>
      </c>
      <c r="H503" s="292" t="s">
        <v>140</v>
      </c>
      <c r="I503" s="292" t="s">
        <v>682</v>
      </c>
      <c r="J503" s="293"/>
      <c r="K503" s="293"/>
      <c r="L503" s="293"/>
      <c r="M503" s="293"/>
      <c r="N503" s="295">
        <v>1289</v>
      </c>
      <c r="O503" s="296"/>
      <c r="P503" s="295">
        <v>0</v>
      </c>
      <c r="Q503" s="295">
        <v>0</v>
      </c>
      <c r="R503" s="295">
        <v>0</v>
      </c>
      <c r="S503" s="295">
        <v>0</v>
      </c>
      <c r="T503" s="295">
        <v>0</v>
      </c>
      <c r="U503" s="295">
        <v>0</v>
      </c>
      <c r="V503" s="295">
        <v>0</v>
      </c>
      <c r="W503" s="295">
        <v>0</v>
      </c>
      <c r="X503" s="295">
        <v>0</v>
      </c>
      <c r="Y503" s="295">
        <v>0</v>
      </c>
      <c r="Z503" s="295">
        <v>0</v>
      </c>
      <c r="AA503" s="295">
        <v>0</v>
      </c>
      <c r="AB503" s="295">
        <v>0</v>
      </c>
      <c r="AC503" s="295">
        <v>0</v>
      </c>
      <c r="AD503" s="295">
        <v>0</v>
      </c>
      <c r="AE503" s="295">
        <v>0</v>
      </c>
      <c r="AF503" s="295">
        <v>0</v>
      </c>
      <c r="AG503" s="295">
        <v>0</v>
      </c>
      <c r="AH503" s="295">
        <v>0</v>
      </c>
      <c r="AI503" s="364"/>
    </row>
    <row r="504" spans="1:35">
      <c r="A504" s="291">
        <v>32151</v>
      </c>
      <c r="B504" s="291">
        <v>43241</v>
      </c>
      <c r="C504" s="292" t="s">
        <v>1698</v>
      </c>
      <c r="D504" s="293" t="s">
        <v>281</v>
      </c>
      <c r="E504" s="293" t="str">
        <f t="shared" si="7"/>
        <v>G</v>
      </c>
      <c r="F504" s="293" t="s">
        <v>126</v>
      </c>
      <c r="G504" s="294">
        <v>700</v>
      </c>
      <c r="H504" s="292" t="s">
        <v>2082</v>
      </c>
      <c r="I504" s="292" t="s">
        <v>2207</v>
      </c>
      <c r="J504" s="293" t="s">
        <v>500</v>
      </c>
      <c r="K504" s="293"/>
      <c r="L504" s="293" t="s">
        <v>500</v>
      </c>
      <c r="M504" s="293" t="s">
        <v>1937</v>
      </c>
      <c r="N504" s="295">
        <v>0</v>
      </c>
      <c r="O504" s="296" t="s">
        <v>673</v>
      </c>
      <c r="P504" s="295">
        <v>0</v>
      </c>
      <c r="Q504" s="295">
        <v>0</v>
      </c>
      <c r="R504" s="295">
        <v>-1379.92</v>
      </c>
      <c r="S504" s="295">
        <v>1214</v>
      </c>
      <c r="T504" s="295">
        <v>1214</v>
      </c>
      <c r="U504" s="295">
        <v>30</v>
      </c>
      <c r="V504" s="295">
        <v>10</v>
      </c>
      <c r="W504" s="295">
        <v>5.5</v>
      </c>
      <c r="X504" s="295">
        <v>5</v>
      </c>
      <c r="Y504" s="295">
        <v>18</v>
      </c>
      <c r="Z504" s="295">
        <v>0</v>
      </c>
      <c r="AA504" s="295">
        <v>70</v>
      </c>
      <c r="AB504" s="295">
        <v>0</v>
      </c>
      <c r="AC504" s="295">
        <v>75</v>
      </c>
      <c r="AD504" s="295">
        <v>0</v>
      </c>
      <c r="AE504" s="295">
        <v>0</v>
      </c>
      <c r="AF504" s="295">
        <v>0</v>
      </c>
      <c r="AG504" s="295">
        <v>0</v>
      </c>
      <c r="AH504" s="295">
        <v>1427.5</v>
      </c>
    </row>
    <row r="505" spans="1:35">
      <c r="A505" s="291">
        <v>31462</v>
      </c>
      <c r="B505" s="291">
        <v>42675</v>
      </c>
      <c r="C505" s="292" t="s">
        <v>1699</v>
      </c>
      <c r="D505" s="293" t="s">
        <v>167</v>
      </c>
      <c r="E505" s="293" t="str">
        <f t="shared" si="7"/>
        <v>Q</v>
      </c>
      <c r="F505" s="293" t="s">
        <v>126</v>
      </c>
      <c r="G505" s="294">
        <v>700</v>
      </c>
      <c r="H505" s="292" t="s">
        <v>97</v>
      </c>
      <c r="I505" s="292" t="s">
        <v>1700</v>
      </c>
      <c r="J505" s="293" t="s">
        <v>1565</v>
      </c>
      <c r="K505" s="293"/>
      <c r="L505" s="293" t="s">
        <v>817</v>
      </c>
      <c r="M505" s="293" t="s">
        <v>818</v>
      </c>
      <c r="N505" s="295">
        <v>1329</v>
      </c>
      <c r="O505" s="296" t="s">
        <v>673</v>
      </c>
      <c r="P505" s="295">
        <v>0</v>
      </c>
      <c r="Q505" s="295">
        <v>0</v>
      </c>
      <c r="R505" s="295">
        <v>0</v>
      </c>
      <c r="S505" s="295">
        <v>1389</v>
      </c>
      <c r="T505" s="295">
        <v>1389</v>
      </c>
      <c r="U505" s="295">
        <v>30</v>
      </c>
      <c r="V505" s="295">
        <v>10</v>
      </c>
      <c r="W505" s="295">
        <v>5.5</v>
      </c>
      <c r="X505" s="295">
        <v>5</v>
      </c>
      <c r="Y505" s="295">
        <v>18</v>
      </c>
      <c r="Z505" s="295">
        <v>0</v>
      </c>
      <c r="AA505" s="295">
        <v>0</v>
      </c>
      <c r="AB505" s="295">
        <v>0</v>
      </c>
      <c r="AC505" s="295">
        <v>0</v>
      </c>
      <c r="AD505" s="295">
        <v>0</v>
      </c>
      <c r="AE505" s="295">
        <v>0</v>
      </c>
      <c r="AF505" s="295">
        <v>0</v>
      </c>
      <c r="AG505" s="295">
        <v>0</v>
      </c>
      <c r="AH505" s="295">
        <v>1457.5</v>
      </c>
    </row>
    <row r="506" spans="1:35">
      <c r="A506" s="291">
        <v>21385</v>
      </c>
      <c r="B506" s="291">
        <v>42527</v>
      </c>
      <c r="C506" s="292" t="s">
        <v>1701</v>
      </c>
      <c r="D506" s="293" t="s">
        <v>167</v>
      </c>
      <c r="E506" s="293" t="str">
        <f t="shared" si="7"/>
        <v>Q</v>
      </c>
      <c r="F506" s="293" t="s">
        <v>126</v>
      </c>
      <c r="G506" s="294">
        <v>700</v>
      </c>
      <c r="H506" s="292" t="s">
        <v>358</v>
      </c>
      <c r="I506" s="292" t="s">
        <v>1702</v>
      </c>
      <c r="J506" s="293" t="s">
        <v>1703</v>
      </c>
      <c r="K506" s="293" t="s">
        <v>2208</v>
      </c>
      <c r="L506" s="293" t="s">
        <v>836</v>
      </c>
      <c r="M506" s="293" t="s">
        <v>475</v>
      </c>
      <c r="N506" s="295">
        <v>1329</v>
      </c>
      <c r="O506" s="296" t="s">
        <v>673</v>
      </c>
      <c r="P506" s="295">
        <v>0</v>
      </c>
      <c r="Q506" s="295">
        <v>0</v>
      </c>
      <c r="R506" s="295">
        <v>0</v>
      </c>
      <c r="S506" s="295">
        <v>1299</v>
      </c>
      <c r="T506" s="295">
        <v>1299</v>
      </c>
      <c r="U506" s="295">
        <v>30</v>
      </c>
      <c r="V506" s="295">
        <v>10</v>
      </c>
      <c r="W506" s="295">
        <v>5.5</v>
      </c>
      <c r="X506" s="295">
        <v>5</v>
      </c>
      <c r="Y506" s="295">
        <v>18</v>
      </c>
      <c r="Z506" s="295">
        <v>30</v>
      </c>
      <c r="AA506" s="295">
        <v>70</v>
      </c>
      <c r="AB506" s="295">
        <v>0</v>
      </c>
      <c r="AC506" s="295">
        <v>0</v>
      </c>
      <c r="AD506" s="295">
        <v>250</v>
      </c>
      <c r="AE506" s="295">
        <v>0</v>
      </c>
      <c r="AF506" s="295">
        <v>0</v>
      </c>
      <c r="AG506" s="295">
        <v>0</v>
      </c>
      <c r="AH506" s="295">
        <v>1717.5</v>
      </c>
    </row>
    <row r="507" spans="1:35">
      <c r="A507" s="291">
        <v>32160</v>
      </c>
      <c r="B507" s="291">
        <v>43261</v>
      </c>
      <c r="C507" s="292" t="s">
        <v>1701</v>
      </c>
      <c r="D507" s="293" t="s">
        <v>167</v>
      </c>
      <c r="E507" s="293" t="str">
        <f t="shared" si="7"/>
        <v>Q</v>
      </c>
      <c r="F507" s="293" t="s">
        <v>126</v>
      </c>
      <c r="G507" s="294">
        <v>700</v>
      </c>
      <c r="H507" s="292" t="s">
        <v>2082</v>
      </c>
      <c r="I507" s="292" t="s">
        <v>2209</v>
      </c>
      <c r="J507" s="293" t="s">
        <v>885</v>
      </c>
      <c r="K507" s="293"/>
      <c r="L507" s="293" t="s">
        <v>885</v>
      </c>
      <c r="M507" s="293" t="s">
        <v>2210</v>
      </c>
      <c r="N507" s="295">
        <v>0</v>
      </c>
      <c r="O507" s="296" t="s">
        <v>673</v>
      </c>
      <c r="P507" s="295">
        <v>0</v>
      </c>
      <c r="Q507" s="295">
        <v>0</v>
      </c>
      <c r="R507" s="295">
        <v>250</v>
      </c>
      <c r="S507" s="295">
        <v>1329</v>
      </c>
      <c r="T507" s="295">
        <v>1329</v>
      </c>
      <c r="U507" s="295">
        <v>30</v>
      </c>
      <c r="V507" s="295">
        <v>10</v>
      </c>
      <c r="W507" s="295">
        <v>5.5</v>
      </c>
      <c r="X507" s="295">
        <v>5</v>
      </c>
      <c r="Y507" s="295">
        <v>18</v>
      </c>
      <c r="Z507" s="295">
        <v>0</v>
      </c>
      <c r="AA507" s="295">
        <v>70</v>
      </c>
      <c r="AB507" s="295">
        <v>0</v>
      </c>
      <c r="AC507" s="295">
        <v>0</v>
      </c>
      <c r="AD507" s="295">
        <v>0</v>
      </c>
      <c r="AE507" s="295">
        <v>0</v>
      </c>
      <c r="AF507" s="295">
        <v>0</v>
      </c>
      <c r="AG507" s="295">
        <v>0</v>
      </c>
      <c r="AH507" s="295">
        <v>1467.5</v>
      </c>
    </row>
    <row r="508" spans="1:35">
      <c r="A508" s="291">
        <v>31652</v>
      </c>
      <c r="B508" s="291">
        <v>42902</v>
      </c>
      <c r="C508" s="292" t="s">
        <v>1704</v>
      </c>
      <c r="D508" s="293" t="s">
        <v>167</v>
      </c>
      <c r="E508" s="293" t="str">
        <f t="shared" si="7"/>
        <v>Q</v>
      </c>
      <c r="F508" s="293" t="s">
        <v>126</v>
      </c>
      <c r="G508" s="294">
        <v>700</v>
      </c>
      <c r="H508" s="292" t="s">
        <v>97</v>
      </c>
      <c r="I508" s="292" t="s">
        <v>1550</v>
      </c>
      <c r="J508" s="293" t="s">
        <v>1335</v>
      </c>
      <c r="K508" s="293"/>
      <c r="L508" s="293" t="s">
        <v>1335</v>
      </c>
      <c r="M508" s="293" t="s">
        <v>1831</v>
      </c>
      <c r="N508" s="295">
        <v>1329</v>
      </c>
      <c r="O508" s="296" t="s">
        <v>673</v>
      </c>
      <c r="P508" s="295">
        <v>0</v>
      </c>
      <c r="Q508" s="295">
        <v>0</v>
      </c>
      <c r="R508" s="295">
        <v>-1497.5</v>
      </c>
      <c r="S508" s="295">
        <v>1359</v>
      </c>
      <c r="T508" s="295">
        <v>1359</v>
      </c>
      <c r="U508" s="295">
        <v>30</v>
      </c>
      <c r="V508" s="295">
        <v>10</v>
      </c>
      <c r="W508" s="295">
        <v>5.5</v>
      </c>
      <c r="X508" s="295">
        <v>5</v>
      </c>
      <c r="Y508" s="295">
        <v>18</v>
      </c>
      <c r="Z508" s="295">
        <v>0</v>
      </c>
      <c r="AA508" s="295">
        <v>70</v>
      </c>
      <c r="AB508" s="295">
        <v>0</v>
      </c>
      <c r="AC508" s="295">
        <v>0</v>
      </c>
      <c r="AD508" s="295">
        <v>0</v>
      </c>
      <c r="AE508" s="295">
        <v>0</v>
      </c>
      <c r="AF508" s="295">
        <v>0</v>
      </c>
      <c r="AG508" s="295">
        <v>0</v>
      </c>
      <c r="AH508" s="295">
        <v>1497.5</v>
      </c>
    </row>
    <row r="509" spans="1:35">
      <c r="A509" s="291">
        <v>32008</v>
      </c>
      <c r="B509" s="291">
        <v>42961</v>
      </c>
      <c r="C509" s="292" t="s">
        <v>1705</v>
      </c>
      <c r="D509" s="293" t="s">
        <v>281</v>
      </c>
      <c r="E509" s="293" t="str">
        <f t="shared" si="7"/>
        <v>G</v>
      </c>
      <c r="F509" s="293" t="s">
        <v>126</v>
      </c>
      <c r="G509" s="294">
        <v>700</v>
      </c>
      <c r="H509" s="292" t="s">
        <v>97</v>
      </c>
      <c r="I509" s="292" t="s">
        <v>1913</v>
      </c>
      <c r="J509" s="293" t="s">
        <v>426</v>
      </c>
      <c r="K509" s="293"/>
      <c r="L509" s="293" t="s">
        <v>426</v>
      </c>
      <c r="M509" s="293" t="s">
        <v>1914</v>
      </c>
      <c r="N509" s="295">
        <v>1289</v>
      </c>
      <c r="O509" s="296" t="s">
        <v>673</v>
      </c>
      <c r="P509" s="295">
        <v>0</v>
      </c>
      <c r="Q509" s="295">
        <v>0</v>
      </c>
      <c r="R509" s="295">
        <v>0</v>
      </c>
      <c r="S509" s="295">
        <v>1269</v>
      </c>
      <c r="T509" s="295">
        <v>1269</v>
      </c>
      <c r="U509" s="295">
        <v>30</v>
      </c>
      <c r="V509" s="295">
        <v>10</v>
      </c>
      <c r="W509" s="295">
        <v>5.5</v>
      </c>
      <c r="X509" s="295">
        <v>5</v>
      </c>
      <c r="Y509" s="295">
        <v>18</v>
      </c>
      <c r="Z509" s="295">
        <v>0</v>
      </c>
      <c r="AA509" s="295">
        <v>70</v>
      </c>
      <c r="AB509" s="295">
        <v>0</v>
      </c>
      <c r="AC509" s="295">
        <v>0</v>
      </c>
      <c r="AD509" s="295">
        <v>0</v>
      </c>
      <c r="AE509" s="295">
        <v>0</v>
      </c>
      <c r="AF509" s="295">
        <v>0</v>
      </c>
      <c r="AG509" s="295">
        <v>0</v>
      </c>
      <c r="AH509" s="295">
        <v>1407.5</v>
      </c>
    </row>
    <row r="510" spans="1:35">
      <c r="A510" s="291">
        <v>32024</v>
      </c>
      <c r="B510" s="291">
        <v>42994</v>
      </c>
      <c r="C510" s="292" t="s">
        <v>1706</v>
      </c>
      <c r="D510" s="293" t="s">
        <v>691</v>
      </c>
      <c r="E510" s="293" t="str">
        <f t="shared" si="7"/>
        <v>G</v>
      </c>
      <c r="F510" s="293" t="s">
        <v>126</v>
      </c>
      <c r="G510" s="294">
        <v>825</v>
      </c>
      <c r="H510" s="292" t="s">
        <v>97</v>
      </c>
      <c r="I510" s="292" t="s">
        <v>2043</v>
      </c>
      <c r="J510" s="293" t="s">
        <v>435</v>
      </c>
      <c r="K510" s="293"/>
      <c r="L510" s="293" t="s">
        <v>435</v>
      </c>
      <c r="M510" s="293" t="s">
        <v>1835</v>
      </c>
      <c r="N510" s="295">
        <v>1349</v>
      </c>
      <c r="O510" s="296" t="s">
        <v>673</v>
      </c>
      <c r="P510" s="295">
        <v>0</v>
      </c>
      <c r="Q510" s="295">
        <v>0</v>
      </c>
      <c r="R510" s="295">
        <v>0</v>
      </c>
      <c r="S510" s="295">
        <v>1379</v>
      </c>
      <c r="T510" s="295">
        <v>1379</v>
      </c>
      <c r="U510" s="295">
        <v>30</v>
      </c>
      <c r="V510" s="295">
        <v>10</v>
      </c>
      <c r="W510" s="295">
        <v>5.5</v>
      </c>
      <c r="X510" s="295">
        <v>5</v>
      </c>
      <c r="Y510" s="295">
        <v>18</v>
      </c>
      <c r="Z510" s="295">
        <v>0</v>
      </c>
      <c r="AA510" s="295">
        <v>70</v>
      </c>
      <c r="AB510" s="295">
        <v>0</v>
      </c>
      <c r="AC510" s="295">
        <v>0</v>
      </c>
      <c r="AD510" s="295">
        <v>0</v>
      </c>
      <c r="AE510" s="295">
        <v>0</v>
      </c>
      <c r="AF510" s="295">
        <v>0</v>
      </c>
      <c r="AG510" s="295">
        <v>0</v>
      </c>
      <c r="AH510" s="295">
        <v>1517.5</v>
      </c>
    </row>
    <row r="511" spans="1:35">
      <c r="A511" s="291">
        <v>11258</v>
      </c>
      <c r="B511" s="291">
        <v>42958</v>
      </c>
      <c r="C511" s="292" t="s">
        <v>1707</v>
      </c>
      <c r="D511" s="293" t="s">
        <v>691</v>
      </c>
      <c r="E511" s="293" t="str">
        <f t="shared" si="7"/>
        <v>G</v>
      </c>
      <c r="F511" s="293" t="s">
        <v>126</v>
      </c>
      <c r="G511" s="294">
        <v>825</v>
      </c>
      <c r="H511" s="292" t="s">
        <v>97</v>
      </c>
      <c r="I511" s="292" t="s">
        <v>1708</v>
      </c>
      <c r="J511" s="293" t="s">
        <v>1709</v>
      </c>
      <c r="K511" s="293"/>
      <c r="L511" s="293" t="s">
        <v>2044</v>
      </c>
      <c r="M511" s="293" t="s">
        <v>1978</v>
      </c>
      <c r="N511" s="295">
        <v>1349</v>
      </c>
      <c r="O511" s="296" t="s">
        <v>673</v>
      </c>
      <c r="P511" s="295">
        <v>0</v>
      </c>
      <c r="Q511" s="295">
        <v>0</v>
      </c>
      <c r="R511" s="295">
        <v>0</v>
      </c>
      <c r="S511" s="295">
        <v>1407</v>
      </c>
      <c r="T511" s="295">
        <v>1407</v>
      </c>
      <c r="U511" s="295">
        <v>30</v>
      </c>
      <c r="V511" s="295">
        <v>10</v>
      </c>
      <c r="W511" s="295">
        <v>5.5</v>
      </c>
      <c r="X511" s="295">
        <v>5</v>
      </c>
      <c r="Y511" s="295">
        <v>18</v>
      </c>
      <c r="Z511" s="295">
        <v>0</v>
      </c>
      <c r="AA511" s="295">
        <v>70</v>
      </c>
      <c r="AB511" s="295">
        <v>0</v>
      </c>
      <c r="AC511" s="295">
        <v>0</v>
      </c>
      <c r="AD511" s="295">
        <v>0</v>
      </c>
      <c r="AE511" s="295">
        <v>0</v>
      </c>
      <c r="AF511" s="295">
        <v>0</v>
      </c>
      <c r="AG511" s="295">
        <v>0</v>
      </c>
      <c r="AH511" s="295">
        <v>1545.5</v>
      </c>
    </row>
    <row r="512" spans="1:35">
      <c r="A512" s="291">
        <v>31866</v>
      </c>
      <c r="B512" s="291">
        <v>43235</v>
      </c>
      <c r="C512" s="292" t="s">
        <v>1710</v>
      </c>
      <c r="D512" s="293" t="s">
        <v>180</v>
      </c>
      <c r="E512" s="293" t="str">
        <f t="shared" si="7"/>
        <v>Q</v>
      </c>
      <c r="F512" s="293" t="s">
        <v>126</v>
      </c>
      <c r="G512" s="294">
        <v>825</v>
      </c>
      <c r="H512" s="292" t="s">
        <v>97</v>
      </c>
      <c r="I512" s="292" t="s">
        <v>1711</v>
      </c>
      <c r="J512" s="293" t="s">
        <v>1241</v>
      </c>
      <c r="K512" s="293"/>
      <c r="L512" s="293" t="s">
        <v>2071</v>
      </c>
      <c r="M512" s="293" t="s">
        <v>2097</v>
      </c>
      <c r="N512" s="295">
        <v>1389</v>
      </c>
      <c r="O512" s="296" t="s">
        <v>673</v>
      </c>
      <c r="P512" s="295">
        <v>0</v>
      </c>
      <c r="Q512" s="295">
        <v>0</v>
      </c>
      <c r="R512" s="295">
        <v>1.67</v>
      </c>
      <c r="S512" s="295">
        <v>1458</v>
      </c>
      <c r="T512" s="295">
        <v>1458</v>
      </c>
      <c r="U512" s="295">
        <v>30</v>
      </c>
      <c r="V512" s="295">
        <v>10</v>
      </c>
      <c r="W512" s="295">
        <v>5.5</v>
      </c>
      <c r="X512" s="295">
        <v>5</v>
      </c>
      <c r="Y512" s="295">
        <v>18</v>
      </c>
      <c r="Z512" s="295">
        <v>0</v>
      </c>
      <c r="AA512" s="295">
        <v>70</v>
      </c>
      <c r="AB512" s="295">
        <v>0</v>
      </c>
      <c r="AC512" s="295">
        <v>0</v>
      </c>
      <c r="AD512" s="295">
        <v>250</v>
      </c>
      <c r="AE512" s="295">
        <v>0</v>
      </c>
      <c r="AF512" s="295">
        <v>0</v>
      </c>
      <c r="AG512" s="295">
        <v>0</v>
      </c>
      <c r="AH512" s="295">
        <v>1846.5</v>
      </c>
    </row>
    <row r="513" spans="1:34">
      <c r="A513" s="291">
        <v>64</v>
      </c>
      <c r="B513" s="291">
        <v>42823</v>
      </c>
      <c r="C513" s="292" t="s">
        <v>1712</v>
      </c>
      <c r="D513" s="293" t="s">
        <v>171</v>
      </c>
      <c r="E513" s="293" t="str">
        <f t="shared" si="7"/>
        <v>F</v>
      </c>
      <c r="F513" s="293" t="s">
        <v>126</v>
      </c>
      <c r="G513" s="294">
        <v>825</v>
      </c>
      <c r="H513" s="292" t="s">
        <v>97</v>
      </c>
      <c r="I513" s="292" t="s">
        <v>1713</v>
      </c>
      <c r="J513" s="293" t="s">
        <v>1714</v>
      </c>
      <c r="K513" s="293"/>
      <c r="L513" s="293" t="s">
        <v>785</v>
      </c>
      <c r="M513" s="293" t="s">
        <v>1792</v>
      </c>
      <c r="N513" s="295">
        <v>1279</v>
      </c>
      <c r="O513" s="296" t="s">
        <v>673</v>
      </c>
      <c r="P513" s="295">
        <v>0</v>
      </c>
      <c r="Q513" s="295">
        <v>0</v>
      </c>
      <c r="R513" s="295">
        <v>0</v>
      </c>
      <c r="S513" s="295">
        <v>1416</v>
      </c>
      <c r="T513" s="295">
        <v>1416</v>
      </c>
      <c r="U513" s="295">
        <v>30</v>
      </c>
      <c r="V513" s="295">
        <v>10</v>
      </c>
      <c r="W513" s="295">
        <v>5.5</v>
      </c>
      <c r="X513" s="295">
        <v>5</v>
      </c>
      <c r="Y513" s="295">
        <v>18</v>
      </c>
      <c r="Z513" s="295">
        <v>0</v>
      </c>
      <c r="AA513" s="295">
        <v>70</v>
      </c>
      <c r="AB513" s="295">
        <v>0</v>
      </c>
      <c r="AC513" s="295">
        <v>0</v>
      </c>
      <c r="AD513" s="295">
        <v>0</v>
      </c>
      <c r="AE513" s="295">
        <v>0</v>
      </c>
      <c r="AF513" s="295">
        <v>0</v>
      </c>
      <c r="AG513" s="295">
        <v>0</v>
      </c>
      <c r="AH513" s="295">
        <v>1554.5</v>
      </c>
    </row>
    <row r="514" spans="1:34">
      <c r="A514" s="291">
        <v>31909</v>
      </c>
      <c r="B514" s="291">
        <v>42777</v>
      </c>
      <c r="C514" s="292" t="s">
        <v>1715</v>
      </c>
      <c r="D514" s="293" t="s">
        <v>691</v>
      </c>
      <c r="E514" s="293" t="str">
        <f t="shared" si="7"/>
        <v>G</v>
      </c>
      <c r="F514" s="293" t="s">
        <v>126</v>
      </c>
      <c r="G514" s="294">
        <v>825</v>
      </c>
      <c r="H514" s="292" t="s">
        <v>97</v>
      </c>
      <c r="I514" s="292" t="s">
        <v>1716</v>
      </c>
      <c r="J514" s="293" t="s">
        <v>498</v>
      </c>
      <c r="K514" s="293"/>
      <c r="L514" s="293" t="s">
        <v>498</v>
      </c>
      <c r="M514" s="293" t="s">
        <v>503</v>
      </c>
      <c r="N514" s="295">
        <v>1349</v>
      </c>
      <c r="O514" s="296" t="s">
        <v>673</v>
      </c>
      <c r="P514" s="295">
        <v>0</v>
      </c>
      <c r="Q514" s="295">
        <v>0</v>
      </c>
      <c r="R514" s="295">
        <v>0</v>
      </c>
      <c r="S514" s="295">
        <v>1309</v>
      </c>
      <c r="T514" s="295">
        <v>1309</v>
      </c>
      <c r="U514" s="295">
        <v>30</v>
      </c>
      <c r="V514" s="295">
        <v>10</v>
      </c>
      <c r="W514" s="295">
        <v>5.5</v>
      </c>
      <c r="X514" s="295">
        <v>5</v>
      </c>
      <c r="Y514" s="295">
        <v>18</v>
      </c>
      <c r="Z514" s="295">
        <v>15</v>
      </c>
      <c r="AA514" s="295">
        <v>70</v>
      </c>
      <c r="AB514" s="295">
        <v>0</v>
      </c>
      <c r="AC514" s="295">
        <v>0</v>
      </c>
      <c r="AD514" s="295">
        <v>0</v>
      </c>
      <c r="AE514" s="295">
        <v>0</v>
      </c>
      <c r="AF514" s="295">
        <v>0</v>
      </c>
      <c r="AG514" s="295">
        <v>0</v>
      </c>
      <c r="AH514" s="295">
        <v>1462.5</v>
      </c>
    </row>
    <row r="515" spans="1:34">
      <c r="A515" s="291">
        <v>31856</v>
      </c>
      <c r="B515" s="291">
        <v>43227</v>
      </c>
      <c r="C515" s="292" t="s">
        <v>1717</v>
      </c>
      <c r="D515" s="293" t="s">
        <v>180</v>
      </c>
      <c r="E515" s="293" t="str">
        <f t="shared" si="7"/>
        <v>Q</v>
      </c>
      <c r="F515" s="293" t="s">
        <v>126</v>
      </c>
      <c r="G515" s="294">
        <v>825</v>
      </c>
      <c r="H515" s="292" t="s">
        <v>97</v>
      </c>
      <c r="I515" s="292" t="s">
        <v>1718</v>
      </c>
      <c r="J515" s="293" t="s">
        <v>953</v>
      </c>
      <c r="K515" s="293"/>
      <c r="L515" s="293" t="s">
        <v>2071</v>
      </c>
      <c r="M515" s="293" t="s">
        <v>2097</v>
      </c>
      <c r="N515" s="295">
        <v>1389</v>
      </c>
      <c r="O515" s="296" t="s">
        <v>673</v>
      </c>
      <c r="P515" s="295">
        <v>0</v>
      </c>
      <c r="Q515" s="295">
        <v>0</v>
      </c>
      <c r="R515" s="295">
        <v>0</v>
      </c>
      <c r="S515" s="295">
        <v>1458</v>
      </c>
      <c r="T515" s="295">
        <v>1458</v>
      </c>
      <c r="U515" s="295">
        <v>30</v>
      </c>
      <c r="V515" s="295">
        <v>10</v>
      </c>
      <c r="W515" s="295">
        <v>5.5</v>
      </c>
      <c r="X515" s="295">
        <v>5</v>
      </c>
      <c r="Y515" s="295">
        <v>18</v>
      </c>
      <c r="Z515" s="295">
        <v>0</v>
      </c>
      <c r="AA515" s="295">
        <v>70</v>
      </c>
      <c r="AB515" s="295">
        <v>0</v>
      </c>
      <c r="AC515" s="295">
        <v>0</v>
      </c>
      <c r="AD515" s="295">
        <v>250</v>
      </c>
      <c r="AE515" s="295">
        <v>0</v>
      </c>
      <c r="AF515" s="295">
        <v>0</v>
      </c>
      <c r="AG515" s="295">
        <v>0</v>
      </c>
      <c r="AH515" s="295">
        <v>1846.5</v>
      </c>
    </row>
    <row r="516" spans="1:34">
      <c r="A516" s="291">
        <v>31702</v>
      </c>
      <c r="B516" s="291">
        <v>43011</v>
      </c>
      <c r="C516" s="292" t="s">
        <v>1719</v>
      </c>
      <c r="D516" s="293" t="s">
        <v>171</v>
      </c>
      <c r="E516" s="293" t="str">
        <f t="shared" si="7"/>
        <v>F</v>
      </c>
      <c r="F516" s="293" t="s">
        <v>126</v>
      </c>
      <c r="G516" s="294">
        <v>825</v>
      </c>
      <c r="H516" s="292" t="s">
        <v>97</v>
      </c>
      <c r="I516" s="292" t="s">
        <v>1720</v>
      </c>
      <c r="J516" s="293" t="s">
        <v>444</v>
      </c>
      <c r="K516" s="293"/>
      <c r="L516" s="293" t="s">
        <v>423</v>
      </c>
      <c r="M516" s="293" t="s">
        <v>1959</v>
      </c>
      <c r="N516" s="295">
        <v>1279</v>
      </c>
      <c r="O516" s="296" t="s">
        <v>673</v>
      </c>
      <c r="P516" s="295">
        <v>0</v>
      </c>
      <c r="Q516" s="295">
        <v>0</v>
      </c>
      <c r="R516" s="295">
        <v>0</v>
      </c>
      <c r="S516" s="295">
        <v>1349</v>
      </c>
      <c r="T516" s="295">
        <v>1349</v>
      </c>
      <c r="U516" s="295">
        <v>30</v>
      </c>
      <c r="V516" s="295">
        <v>10</v>
      </c>
      <c r="W516" s="295">
        <v>5.5</v>
      </c>
      <c r="X516" s="295">
        <v>5</v>
      </c>
      <c r="Y516" s="295">
        <v>18</v>
      </c>
      <c r="Z516" s="295">
        <v>15</v>
      </c>
      <c r="AA516" s="295">
        <v>70</v>
      </c>
      <c r="AB516" s="295">
        <v>0</v>
      </c>
      <c r="AC516" s="295">
        <v>0</v>
      </c>
      <c r="AD516" s="295">
        <v>0</v>
      </c>
      <c r="AE516" s="295">
        <v>0</v>
      </c>
      <c r="AF516" s="295">
        <v>0</v>
      </c>
      <c r="AG516" s="295">
        <v>0</v>
      </c>
      <c r="AH516" s="295">
        <v>1502.5</v>
      </c>
    </row>
    <row r="517" spans="1:34">
      <c r="A517" s="291">
        <v>32102</v>
      </c>
      <c r="B517" s="291">
        <v>43140</v>
      </c>
      <c r="C517" s="292" t="s">
        <v>1721</v>
      </c>
      <c r="D517" s="293" t="s">
        <v>180</v>
      </c>
      <c r="E517" s="293" t="str">
        <f t="shared" si="7"/>
        <v>Q</v>
      </c>
      <c r="F517" s="293" t="s">
        <v>126</v>
      </c>
      <c r="G517" s="294">
        <v>825</v>
      </c>
      <c r="H517" s="292" t="s">
        <v>97</v>
      </c>
      <c r="I517" s="292" t="s">
        <v>2211</v>
      </c>
      <c r="J517" s="293" t="s">
        <v>2000</v>
      </c>
      <c r="K517" s="293"/>
      <c r="L517" s="293" t="s">
        <v>2000</v>
      </c>
      <c r="M517" s="293" t="s">
        <v>2122</v>
      </c>
      <c r="N517" s="295">
        <v>1389</v>
      </c>
      <c r="O517" s="296" t="s">
        <v>673</v>
      </c>
      <c r="P517" s="295">
        <v>0</v>
      </c>
      <c r="Q517" s="295">
        <v>0</v>
      </c>
      <c r="R517" s="295">
        <v>0</v>
      </c>
      <c r="S517" s="295">
        <v>1169</v>
      </c>
      <c r="T517" s="295">
        <v>1169</v>
      </c>
      <c r="U517" s="295">
        <v>30</v>
      </c>
      <c r="V517" s="295">
        <v>10</v>
      </c>
      <c r="W517" s="295">
        <v>5.5</v>
      </c>
      <c r="X517" s="295">
        <v>5</v>
      </c>
      <c r="Y517" s="295">
        <v>18</v>
      </c>
      <c r="Z517" s="295">
        <v>15</v>
      </c>
      <c r="AA517" s="295">
        <v>70</v>
      </c>
      <c r="AB517" s="295">
        <v>0</v>
      </c>
      <c r="AC517" s="295">
        <v>0</v>
      </c>
      <c r="AD517" s="295">
        <v>0</v>
      </c>
      <c r="AE517" s="295">
        <v>-449.62</v>
      </c>
      <c r="AF517" s="295">
        <v>0</v>
      </c>
      <c r="AG517" s="295">
        <v>0</v>
      </c>
      <c r="AH517" s="295">
        <v>872.88</v>
      </c>
    </row>
    <row r="518" spans="1:34">
      <c r="A518" s="297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  <c r="AH518" s="299"/>
    </row>
    <row r="519" spans="1:34">
      <c r="A519" s="300" t="s">
        <v>1722</v>
      </c>
      <c r="B519" s="547"/>
      <c r="C519" s="547"/>
      <c r="D519" s="547"/>
      <c r="E519" s="547"/>
      <c r="F519" s="547"/>
      <c r="G519" s="547"/>
      <c r="H519" s="547"/>
      <c r="I519" s="547"/>
      <c r="J519" s="547"/>
      <c r="K519" s="547"/>
      <c r="L519" s="547"/>
      <c r="M519" s="547"/>
      <c r="N519" s="301">
        <v>691190</v>
      </c>
      <c r="O519" s="292"/>
      <c r="P519" s="301">
        <v>9712</v>
      </c>
      <c r="Q519" s="301">
        <v>9105</v>
      </c>
      <c r="R519" s="301">
        <v>-87412.36</v>
      </c>
      <c r="S519" s="301">
        <v>641153</v>
      </c>
      <c r="T519" s="301">
        <v>637740</v>
      </c>
      <c r="U519" s="301">
        <v>13650</v>
      </c>
      <c r="V519" s="301">
        <v>4550</v>
      </c>
      <c r="W519" s="301">
        <v>2497</v>
      </c>
      <c r="X519" s="301">
        <v>2275</v>
      </c>
      <c r="Y519" s="301">
        <v>7380</v>
      </c>
      <c r="Z519" s="301">
        <v>3780</v>
      </c>
      <c r="AA519" s="301">
        <v>13370</v>
      </c>
      <c r="AB519" s="301">
        <v>2450</v>
      </c>
      <c r="AC519" s="301">
        <v>1575</v>
      </c>
      <c r="AD519" s="301">
        <v>3500</v>
      </c>
      <c r="AE519" s="301">
        <v>-12860.68</v>
      </c>
      <c r="AF519" s="301">
        <v>-1700</v>
      </c>
      <c r="AG519" s="301">
        <v>-1554</v>
      </c>
      <c r="AH519" s="301">
        <v>676652.32</v>
      </c>
    </row>
    <row r="520" spans="1:34">
      <c r="A520" s="548" t="s">
        <v>2212</v>
      </c>
      <c r="B520" s="548"/>
      <c r="C520" s="548"/>
      <c r="D520" s="548"/>
      <c r="E520" s="548"/>
      <c r="F520" s="548"/>
      <c r="G520" s="548"/>
      <c r="H520" s="548"/>
      <c r="I520" s="548"/>
      <c r="J520" s="163"/>
      <c r="K520" s="163"/>
      <c r="L520" s="163"/>
      <c r="M520" s="163"/>
      <c r="N520" s="484"/>
      <c r="O520" s="163"/>
      <c r="P520" s="484"/>
      <c r="Q520" s="484"/>
      <c r="R520" s="484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</row>
    <row r="521" spans="1:34">
      <c r="A521" s="545" t="s">
        <v>2213</v>
      </c>
      <c r="B521" s="545"/>
      <c r="C521" s="545"/>
      <c r="D521" s="545"/>
      <c r="E521" s="545"/>
      <c r="F521" s="545"/>
      <c r="G521" s="545"/>
      <c r="H521" s="545"/>
      <c r="I521" s="545"/>
      <c r="J521" s="163"/>
      <c r="K521" s="163"/>
      <c r="L521" s="163"/>
      <c r="M521" s="163"/>
      <c r="N521" s="484"/>
      <c r="O521" s="163"/>
      <c r="P521" s="484"/>
      <c r="Q521" s="484"/>
      <c r="R521" s="484"/>
      <c r="S521" s="487">
        <f>SUM(S7:S517)</f>
        <v>662980</v>
      </c>
      <c r="T521" s="487">
        <f>SUM(T7:T517)</f>
        <v>662980</v>
      </c>
      <c r="U521" s="163"/>
      <c r="V521" s="163"/>
      <c r="W521" s="163"/>
      <c r="X521" s="163"/>
      <c r="Y521" s="163"/>
      <c r="Z521" s="163"/>
      <c r="AA521" s="522">
        <f>AA519/70</f>
        <v>191</v>
      </c>
      <c r="AB521" s="163"/>
      <c r="AC521" s="163"/>
      <c r="AD521" s="163"/>
      <c r="AE521" s="163"/>
      <c r="AF521" s="163"/>
      <c r="AG521" s="163"/>
      <c r="AH521" s="163"/>
    </row>
    <row r="522" spans="1:34">
      <c r="A522" s="545" t="s">
        <v>2214</v>
      </c>
      <c r="B522" s="545"/>
      <c r="C522" s="545"/>
      <c r="D522" s="545"/>
      <c r="E522" s="545"/>
      <c r="F522" s="545"/>
      <c r="G522" s="545"/>
      <c r="H522" s="545"/>
      <c r="I522" s="545"/>
      <c r="J522" s="163"/>
      <c r="K522" s="163"/>
      <c r="L522" s="163"/>
      <c r="M522" s="163"/>
      <c r="N522" s="484"/>
      <c r="O522" s="163"/>
      <c r="P522" s="484"/>
      <c r="Q522" s="484"/>
      <c r="R522" s="484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</row>
    <row r="523" spans="1:34">
      <c r="A523" s="545" t="s">
        <v>2215</v>
      </c>
      <c r="B523" s="545"/>
      <c r="C523" s="545"/>
      <c r="D523" s="545"/>
      <c r="E523" s="545"/>
      <c r="F523" s="545"/>
      <c r="G523" s="545"/>
      <c r="H523" s="545"/>
      <c r="I523" s="545"/>
      <c r="J523" s="163"/>
      <c r="K523" s="163"/>
      <c r="L523" s="163"/>
      <c r="M523" s="163"/>
      <c r="N523" s="484"/>
      <c r="O523" s="163"/>
      <c r="P523" s="484"/>
      <c r="Q523" s="484"/>
      <c r="R523" s="484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</row>
    <row r="524" spans="1:34">
      <c r="A524" s="545" t="s">
        <v>2216</v>
      </c>
      <c r="B524" s="545"/>
      <c r="C524" s="545"/>
      <c r="D524" s="545"/>
      <c r="E524" s="545"/>
      <c r="F524" s="545"/>
      <c r="G524" s="545"/>
      <c r="H524" s="545"/>
      <c r="I524" s="545"/>
      <c r="J524" s="163"/>
      <c r="K524" s="163"/>
      <c r="L524" s="163"/>
      <c r="M524" s="163"/>
      <c r="N524" s="484"/>
      <c r="O524" s="163"/>
      <c r="P524" s="484"/>
      <c r="Q524" s="484"/>
      <c r="R524" s="484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</row>
    <row r="525" spans="1:34">
      <c r="A525" s="545"/>
      <c r="B525" s="545"/>
      <c r="C525" s="545"/>
      <c r="D525" s="545"/>
      <c r="E525" s="545"/>
      <c r="F525" s="545"/>
      <c r="G525" s="545"/>
      <c r="H525" s="545"/>
      <c r="I525" s="545"/>
      <c r="J525" s="163"/>
      <c r="K525" s="163"/>
      <c r="L525" s="163"/>
      <c r="M525" s="163"/>
      <c r="N525" s="484"/>
      <c r="O525" s="163"/>
      <c r="P525" s="484"/>
      <c r="Q525" s="484"/>
      <c r="R525" s="484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</row>
    <row r="526" spans="1:34">
      <c r="A526" s="546" t="s">
        <v>2217</v>
      </c>
      <c r="B526" s="546"/>
      <c r="C526" s="546"/>
      <c r="D526" s="546"/>
      <c r="E526" s="546"/>
      <c r="F526" s="546"/>
      <c r="G526" s="546"/>
      <c r="H526" s="546"/>
      <c r="I526" s="546"/>
      <c r="J526" s="163"/>
      <c r="K526" s="163"/>
      <c r="L526" s="163"/>
      <c r="M526" s="163"/>
      <c r="N526" s="484"/>
      <c r="O526" s="163"/>
      <c r="P526" s="484"/>
      <c r="Q526" s="484"/>
      <c r="R526" s="484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</row>
    <row r="527" spans="1:34">
      <c r="H527"/>
      <c r="I527"/>
      <c r="V527" s="224"/>
    </row>
    <row r="528" spans="1:34">
      <c r="H528"/>
      <c r="I528"/>
      <c r="V528" s="224"/>
    </row>
    <row r="529" spans="5:22">
      <c r="H529"/>
      <c r="I529"/>
      <c r="K529" s="220" t="s">
        <v>2260</v>
      </c>
      <c r="M529" s="220" t="s">
        <v>347</v>
      </c>
      <c r="N529" s="220" t="s">
        <v>348</v>
      </c>
      <c r="R529" s="521">
        <v>1</v>
      </c>
      <c r="V529" s="224"/>
    </row>
    <row r="530" spans="5:22">
      <c r="E530" s="162" t="str" cm="1">
        <f t="array" ref="E530:E535">_xlfn._xlws.SORT(_xlfn.UNIQUE(E7:E517))</f>
        <v>1</v>
      </c>
      <c r="H530"/>
      <c r="I530"/>
      <c r="K530" s="220" t="s">
        <v>2218</v>
      </c>
      <c r="M530" s="220" t="s">
        <v>2219</v>
      </c>
      <c r="R530" s="317">
        <v>46173</v>
      </c>
      <c r="V530" s="224"/>
    </row>
    <row r="531" spans="5:22">
      <c r="E531" s="162" t="str">
        <v>2</v>
      </c>
      <c r="H531" s="163"/>
      <c r="I531"/>
      <c r="K531" s="162" t="str" cm="1">
        <f t="array" ref="K531:K539">_xlfn._xlws.SORT(_xlfn.UNIQUE(H7:H517))</f>
        <v>Admin/Down</v>
      </c>
      <c r="L531" s="162">
        <f>COUNTIF($H$7:$H$517,$K531)</f>
        <v>1</v>
      </c>
      <c r="M531" s="486">
        <f>SUMIF($H$7:$H$517,$K531,$T$7:$T$517)</f>
        <v>0</v>
      </c>
      <c r="N531" s="486">
        <f>SUMIF($H$7:$H$517,$K531,$N$7:$N$517)</f>
        <v>1564</v>
      </c>
      <c r="R531" s="486">
        <v>8390792.8095091004</v>
      </c>
      <c r="V531" s="224"/>
    </row>
    <row r="532" spans="5:22">
      <c r="E532" s="162" t="str">
        <v>3</v>
      </c>
      <c r="H532" s="163"/>
      <c r="I532"/>
      <c r="K532" s="162" t="str">
        <v>Applicant</v>
      </c>
      <c r="L532" s="162">
        <f t="shared" ref="L532:L539" si="8">COUNTIF($H$7:$H$517,$K532)</f>
        <v>10</v>
      </c>
      <c r="M532" s="486">
        <f t="shared" ref="M532:M539" si="9">SUMIF($H$7:$H$517,$K532,$T$7:$T$517)</f>
        <v>13035</v>
      </c>
      <c r="N532" s="486">
        <f t="shared" ref="N532:N539" si="10">SUMIF($H$7:$H$517,$K532,$N$7:$N$517)</f>
        <v>0</v>
      </c>
      <c r="R532" s="501">
        <f>R531/12</f>
        <v>699232.7341257584</v>
      </c>
      <c r="V532" s="224"/>
    </row>
    <row r="533" spans="5:22">
      <c r="E533" s="162" t="str">
        <v>F</v>
      </c>
      <c r="F533" s="162">
        <f>COUNTIF($E$7:$E$517,E533)</f>
        <v>109</v>
      </c>
      <c r="H533" s="163"/>
      <c r="I533"/>
      <c r="K533" s="162" t="str">
        <v>Occupied</v>
      </c>
      <c r="L533" s="162">
        <f t="shared" si="8"/>
        <v>431</v>
      </c>
      <c r="M533" s="486">
        <f t="shared" si="9"/>
        <v>602785</v>
      </c>
      <c r="N533" s="486">
        <f t="shared" si="10"/>
        <v>600229</v>
      </c>
      <c r="R533" s="162">
        <v>495</v>
      </c>
      <c r="V533" s="224"/>
    </row>
    <row r="534" spans="5:22">
      <c r="E534" s="162" t="str">
        <v>G</v>
      </c>
      <c r="F534" s="162">
        <f t="shared" ref="F534:F535" si="11">COUNTIF($E$7:$E$517,E534)</f>
        <v>123</v>
      </c>
      <c r="H534" s="163"/>
      <c r="I534"/>
      <c r="K534" s="162" t="str">
        <v>Occupied-NTV</v>
      </c>
      <c r="L534" s="162">
        <f t="shared" si="8"/>
        <v>21</v>
      </c>
      <c r="M534" s="486">
        <f t="shared" si="9"/>
        <v>30983</v>
      </c>
      <c r="N534" s="486">
        <f t="shared" si="10"/>
        <v>30219</v>
      </c>
      <c r="R534" s="520">
        <f>R532/R533</f>
        <v>1412.5913820722392</v>
      </c>
      <c r="V534" s="224"/>
    </row>
    <row r="535" spans="5:22" ht="13.5" thickBot="1">
      <c r="E535" s="162" t="str">
        <v>Q</v>
      </c>
      <c r="F535" s="162">
        <f t="shared" si="11"/>
        <v>234</v>
      </c>
      <c r="H535" s="302"/>
      <c r="I535" s="303"/>
      <c r="K535" s="162" t="str">
        <v>Occupied-NTVL</v>
      </c>
      <c r="L535" s="162">
        <f t="shared" si="8"/>
        <v>5</v>
      </c>
      <c r="M535" s="486">
        <f t="shared" si="9"/>
        <v>7385</v>
      </c>
      <c r="N535" s="486">
        <f t="shared" si="10"/>
        <v>7325</v>
      </c>
      <c r="R535" s="507">
        <f>(M543-R534)/R534</f>
        <v>-6.8178027297921776E-3</v>
      </c>
      <c r="V535" s="224"/>
    </row>
    <row r="536" spans="5:22" ht="13.5" thickTop="1">
      <c r="F536" s="162">
        <f>SUM(F533:F535)</f>
        <v>466</v>
      </c>
      <c r="H536" s="163"/>
      <c r="I536"/>
      <c r="K536" s="162" t="str">
        <v>Pending renewal</v>
      </c>
      <c r="L536" s="162">
        <f t="shared" si="8"/>
        <v>2</v>
      </c>
      <c r="M536" s="486">
        <f t="shared" si="9"/>
        <v>2995</v>
      </c>
      <c r="N536" s="486">
        <f t="shared" si="10"/>
        <v>0</v>
      </c>
      <c r="V536" s="224"/>
    </row>
    <row r="537" spans="5:22">
      <c r="H537" s="163"/>
      <c r="I537"/>
      <c r="K537" s="162" t="str">
        <v>Pending resident</v>
      </c>
      <c r="L537" s="162">
        <f t="shared" si="8"/>
        <v>4</v>
      </c>
      <c r="M537" s="486">
        <f t="shared" si="9"/>
        <v>5797</v>
      </c>
      <c r="N537" s="486">
        <f t="shared" si="10"/>
        <v>0</v>
      </c>
      <c r="V537" s="224"/>
    </row>
    <row r="538" spans="5:22">
      <c r="H538" s="280"/>
      <c r="I538" s="304"/>
      <c r="K538" s="162" t="str">
        <v>Vacant</v>
      </c>
      <c r="L538" s="162">
        <f t="shared" si="8"/>
        <v>29</v>
      </c>
      <c r="M538" s="486">
        <f t="shared" si="9"/>
        <v>0</v>
      </c>
      <c r="N538" s="486">
        <f t="shared" si="10"/>
        <v>41231</v>
      </c>
      <c r="V538" s="224"/>
    </row>
    <row r="539" spans="5:22">
      <c r="H539"/>
      <c r="I539"/>
      <c r="K539" s="162" t="str">
        <v>Vacant-Leased</v>
      </c>
      <c r="L539" s="162">
        <f t="shared" si="8"/>
        <v>8</v>
      </c>
      <c r="M539" s="486">
        <f t="shared" si="9"/>
        <v>0</v>
      </c>
      <c r="N539" s="486">
        <f t="shared" si="10"/>
        <v>10622</v>
      </c>
      <c r="V539" s="224"/>
    </row>
    <row r="540" spans="5:22">
      <c r="H540"/>
      <c r="I540"/>
      <c r="K540" s="220" t="s">
        <v>546</v>
      </c>
      <c r="L540" s="162">
        <f>SUM(L531:L539)-L532-L537</f>
        <v>497</v>
      </c>
      <c r="M540" s="486">
        <f>SUM(M531:M539)</f>
        <v>662980</v>
      </c>
      <c r="N540" s="486">
        <f>SUM(N531:N539)</f>
        <v>691190</v>
      </c>
      <c r="V540" s="224"/>
    </row>
    <row r="541" spans="5:22">
      <c r="H541"/>
      <c r="I541"/>
      <c r="P541" s="507">
        <f>(N542-P542)/P542</f>
        <v>451.43153266331655</v>
      </c>
      <c r="V541" s="224"/>
    </row>
    <row r="542" spans="5:22">
      <c r="H542"/>
      <c r="I542"/>
      <c r="K542" s="220" t="s">
        <v>97</v>
      </c>
      <c r="L542" s="162">
        <f>L533+L534+L535</f>
        <v>457</v>
      </c>
      <c r="M542" s="486">
        <f>M540-M532-M537-M536</f>
        <v>641153</v>
      </c>
      <c r="N542" s="501">
        <f>N540-N539-N538-N531</f>
        <v>637773</v>
      </c>
      <c r="P542" s="501">
        <v>1409.6563876651983</v>
      </c>
      <c r="V542" s="224"/>
    </row>
    <row r="543" spans="5:22">
      <c r="H543"/>
      <c r="I543"/>
      <c r="K543" s="220" t="s">
        <v>317</v>
      </c>
      <c r="L543" s="485">
        <f>L542/L540</f>
        <v>0.91951710261569419</v>
      </c>
      <c r="M543" s="520">
        <f>M542/L542</f>
        <v>1402.9606126914662</v>
      </c>
      <c r="N543" s="520">
        <f>N542/L542</f>
        <v>1395.5645514223195</v>
      </c>
      <c r="V543" s="224"/>
    </row>
    <row r="544" spans="5:22">
      <c r="H544"/>
      <c r="I544"/>
      <c r="N544" s="485">
        <f>(M543-N543)/N543</f>
        <v>5.2996912694642682E-3</v>
      </c>
      <c r="V544" s="224"/>
    </row>
    <row r="545" spans="8:22">
      <c r="H545"/>
      <c r="I545"/>
      <c r="V545" s="224"/>
    </row>
    <row r="546" spans="8:22">
      <c r="H546"/>
      <c r="I546"/>
      <c r="V546" s="224"/>
    </row>
    <row r="547" spans="8:22">
      <c r="H547"/>
      <c r="I547"/>
      <c r="V547" s="224"/>
    </row>
    <row r="548" spans="8:22">
      <c r="H548"/>
      <c r="I548"/>
      <c r="V548" s="224"/>
    </row>
    <row r="549" spans="8:22">
      <c r="H549"/>
      <c r="I549"/>
      <c r="V549" s="224"/>
    </row>
    <row r="550" spans="8:22">
      <c r="H550"/>
      <c r="I550"/>
      <c r="V550" s="224"/>
    </row>
    <row r="551" spans="8:22">
      <c r="H551"/>
      <c r="I551"/>
      <c r="V551" s="224"/>
    </row>
    <row r="552" spans="8:22">
      <c r="H552"/>
      <c r="I552"/>
      <c r="V552" s="224"/>
    </row>
    <row r="553" spans="8:22">
      <c r="H553"/>
      <c r="I553"/>
      <c r="V553" s="224"/>
    </row>
    <row r="554" spans="8:22">
      <c r="H554"/>
      <c r="I554"/>
      <c r="V554" s="224"/>
    </row>
    <row r="555" spans="8:22">
      <c r="H555"/>
      <c r="I555"/>
      <c r="V555" s="224"/>
    </row>
    <row r="556" spans="8:22">
      <c r="H556"/>
      <c r="I556"/>
      <c r="V556" s="224"/>
    </row>
    <row r="557" spans="8:22">
      <c r="H557"/>
      <c r="I557"/>
      <c r="V557" s="224"/>
    </row>
    <row r="558" spans="8:22">
      <c r="H558"/>
      <c r="I558"/>
      <c r="V558" s="224"/>
    </row>
    <row r="559" spans="8:22">
      <c r="H559"/>
      <c r="I559"/>
      <c r="V559" s="224"/>
    </row>
    <row r="560" spans="8:22">
      <c r="H560"/>
      <c r="I560"/>
      <c r="V560" s="224"/>
    </row>
    <row r="561" spans="8:22">
      <c r="H561"/>
      <c r="I561"/>
      <c r="V561" s="224"/>
    </row>
    <row r="562" spans="8:22">
      <c r="H562"/>
      <c r="I562"/>
      <c r="V562" s="224"/>
    </row>
    <row r="563" spans="8:22">
      <c r="H563"/>
      <c r="I563"/>
      <c r="V563" s="224"/>
    </row>
    <row r="564" spans="8:22">
      <c r="H564"/>
      <c r="I564"/>
      <c r="V564" s="224"/>
    </row>
    <row r="565" spans="8:22">
      <c r="H565"/>
      <c r="I565"/>
      <c r="V565" s="224"/>
    </row>
    <row r="566" spans="8:22">
      <c r="H566"/>
      <c r="I566"/>
      <c r="V566" s="224"/>
    </row>
    <row r="567" spans="8:22">
      <c r="H567"/>
      <c r="I567"/>
      <c r="V567" s="224"/>
    </row>
    <row r="568" spans="8:22">
      <c r="H568"/>
      <c r="I568"/>
      <c r="V568" s="224"/>
    </row>
    <row r="569" spans="8:22">
      <c r="H569"/>
      <c r="I569"/>
      <c r="V569" s="224"/>
    </row>
    <row r="570" spans="8:22">
      <c r="H570"/>
      <c r="I570"/>
      <c r="V570" s="224"/>
    </row>
    <row r="571" spans="8:22">
      <c r="H571"/>
      <c r="I571"/>
      <c r="V571" s="224"/>
    </row>
    <row r="572" spans="8:22">
      <c r="H572"/>
      <c r="I572"/>
      <c r="V572" s="224"/>
    </row>
    <row r="573" spans="8:22">
      <c r="H573"/>
      <c r="I573"/>
      <c r="V573" s="224"/>
    </row>
    <row r="574" spans="8:22">
      <c r="H574"/>
      <c r="I574"/>
      <c r="V574" s="224"/>
    </row>
    <row r="575" spans="8:22">
      <c r="H575"/>
      <c r="I575"/>
      <c r="V575" s="224"/>
    </row>
    <row r="576" spans="8:22">
      <c r="H576"/>
      <c r="I576"/>
      <c r="V576" s="224"/>
    </row>
    <row r="577" spans="8:22">
      <c r="H577"/>
      <c r="I577"/>
      <c r="V577" s="224"/>
    </row>
    <row r="578" spans="8:22">
      <c r="H578"/>
      <c r="I578"/>
      <c r="V578" s="224"/>
    </row>
    <row r="579" spans="8:22">
      <c r="H579"/>
      <c r="I579"/>
      <c r="V579" s="224"/>
    </row>
    <row r="580" spans="8:22">
      <c r="H580"/>
      <c r="I580"/>
      <c r="V580" s="224"/>
    </row>
    <row r="581" spans="8:22">
      <c r="H581"/>
      <c r="I581"/>
      <c r="V581" s="224"/>
    </row>
    <row r="582" spans="8:22">
      <c r="H582"/>
      <c r="I582"/>
      <c r="V582" s="224"/>
    </row>
    <row r="583" spans="8:22">
      <c r="H583"/>
      <c r="I583"/>
      <c r="V583" s="224"/>
    </row>
    <row r="584" spans="8:22">
      <c r="H584"/>
      <c r="I584"/>
      <c r="V584" s="224"/>
    </row>
    <row r="585" spans="8:22">
      <c r="H585"/>
      <c r="I585"/>
      <c r="V585" s="224"/>
    </row>
    <row r="586" spans="8:22">
      <c r="H586"/>
      <c r="I586"/>
      <c r="V586" s="224"/>
    </row>
    <row r="587" spans="8:22">
      <c r="H587"/>
      <c r="I587"/>
      <c r="V587" s="224"/>
    </row>
    <row r="588" spans="8:22">
      <c r="H588"/>
      <c r="I588"/>
      <c r="V588" s="224"/>
    </row>
    <row r="589" spans="8:22">
      <c r="H589"/>
      <c r="I589"/>
      <c r="V589" s="224"/>
    </row>
    <row r="590" spans="8:22">
      <c r="H590"/>
      <c r="I590"/>
      <c r="V590" s="224"/>
    </row>
    <row r="591" spans="8:22">
      <c r="H591"/>
      <c r="I591"/>
      <c r="V591" s="224"/>
    </row>
    <row r="592" spans="8:22">
      <c r="H592"/>
      <c r="I592"/>
      <c r="V592" s="224"/>
    </row>
    <row r="593" spans="8:22">
      <c r="H593"/>
      <c r="I593"/>
      <c r="V593" s="224"/>
    </row>
    <row r="594" spans="8:22">
      <c r="H594"/>
      <c r="I594"/>
      <c r="V594" s="224"/>
    </row>
    <row r="595" spans="8:22">
      <c r="H595"/>
      <c r="I595"/>
      <c r="V595" s="224"/>
    </row>
    <row r="596" spans="8:22">
      <c r="H596"/>
      <c r="I596"/>
      <c r="V596" s="224"/>
    </row>
    <row r="597" spans="8:22">
      <c r="H597"/>
      <c r="I597"/>
      <c r="V597" s="224"/>
    </row>
    <row r="598" spans="8:22">
      <c r="H598"/>
      <c r="I598"/>
      <c r="V598" s="224"/>
    </row>
    <row r="599" spans="8:22">
      <c r="H599"/>
      <c r="I599"/>
      <c r="V599" s="224"/>
    </row>
    <row r="600" spans="8:22">
      <c r="H600"/>
      <c r="I600"/>
      <c r="V600" s="224"/>
    </row>
    <row r="601" spans="8:22">
      <c r="H601"/>
      <c r="I601"/>
      <c r="V601" s="224"/>
    </row>
    <row r="602" spans="8:22">
      <c r="H602"/>
      <c r="I602"/>
      <c r="V602" s="224"/>
    </row>
    <row r="603" spans="8:22">
      <c r="H603"/>
      <c r="I603"/>
      <c r="V603" s="224"/>
    </row>
    <row r="604" spans="8:22">
      <c r="H604"/>
      <c r="I604"/>
      <c r="V604" s="224"/>
    </row>
    <row r="605" spans="8:22">
      <c r="H605"/>
      <c r="I605"/>
      <c r="V605" s="224"/>
    </row>
    <row r="606" spans="8:22">
      <c r="H606"/>
      <c r="I606"/>
      <c r="V606" s="224"/>
    </row>
    <row r="607" spans="8:22">
      <c r="H607"/>
      <c r="I607"/>
      <c r="V607" s="224"/>
    </row>
    <row r="608" spans="8:22">
      <c r="H608"/>
      <c r="I608"/>
      <c r="V608" s="224"/>
    </row>
    <row r="609" spans="8:22">
      <c r="H609"/>
      <c r="I609"/>
      <c r="V609" s="224"/>
    </row>
    <row r="610" spans="8:22">
      <c r="H610"/>
      <c r="I610"/>
      <c r="V610" s="224"/>
    </row>
    <row r="611" spans="8:22">
      <c r="H611"/>
      <c r="I611"/>
      <c r="V611" s="224"/>
    </row>
    <row r="612" spans="8:22">
      <c r="H612"/>
      <c r="I612"/>
      <c r="V612" s="224"/>
    </row>
    <row r="613" spans="8:22">
      <c r="H613"/>
      <c r="I613"/>
      <c r="V613" s="224"/>
    </row>
    <row r="614" spans="8:22">
      <c r="H614"/>
      <c r="I614"/>
      <c r="V614" s="224"/>
    </row>
    <row r="615" spans="8:22">
      <c r="H615"/>
      <c r="I615"/>
      <c r="V615" s="224"/>
    </row>
    <row r="616" spans="8:22">
      <c r="H616"/>
      <c r="I616"/>
      <c r="V616" s="224"/>
    </row>
    <row r="617" spans="8:22">
      <c r="H617"/>
      <c r="I617"/>
      <c r="V617" s="224"/>
    </row>
    <row r="618" spans="8:22">
      <c r="H618"/>
      <c r="I618"/>
      <c r="V618" s="224"/>
    </row>
    <row r="619" spans="8:22">
      <c r="H619"/>
      <c r="I619"/>
      <c r="V619" s="224"/>
    </row>
    <row r="620" spans="8:22">
      <c r="H620"/>
      <c r="I620"/>
      <c r="V620" s="224"/>
    </row>
    <row r="621" spans="8:22">
      <c r="H621"/>
      <c r="I621"/>
      <c r="V621" s="224"/>
    </row>
    <row r="622" spans="8:22">
      <c r="H622"/>
      <c r="I622"/>
      <c r="V622" s="224"/>
    </row>
    <row r="623" spans="8:22">
      <c r="H623"/>
      <c r="I623"/>
      <c r="V623" s="224"/>
    </row>
    <row r="624" spans="8:22">
      <c r="H624"/>
      <c r="I624"/>
      <c r="V624" s="224"/>
    </row>
    <row r="625" spans="8:22">
      <c r="H625"/>
      <c r="I625"/>
      <c r="V625" s="224"/>
    </row>
    <row r="626" spans="8:22">
      <c r="H626"/>
      <c r="I626"/>
      <c r="V626" s="224"/>
    </row>
    <row r="627" spans="8:22">
      <c r="H627"/>
      <c r="I627"/>
      <c r="V627" s="224"/>
    </row>
    <row r="628" spans="8:22">
      <c r="H628"/>
      <c r="I628"/>
      <c r="V628" s="224"/>
    </row>
    <row r="629" spans="8:22">
      <c r="H629"/>
      <c r="I629"/>
      <c r="V629" s="224"/>
    </row>
    <row r="630" spans="8:22">
      <c r="H630"/>
      <c r="I630"/>
      <c r="V630" s="224"/>
    </row>
    <row r="631" spans="8:22">
      <c r="H631"/>
      <c r="I631"/>
      <c r="V631" s="224"/>
    </row>
    <row r="632" spans="8:22">
      <c r="H632"/>
      <c r="I632"/>
      <c r="V632" s="224"/>
    </row>
    <row r="633" spans="8:22">
      <c r="H633"/>
      <c r="I633"/>
      <c r="V633" s="224"/>
    </row>
    <row r="634" spans="8:22">
      <c r="H634"/>
      <c r="I634"/>
      <c r="V634" s="224"/>
    </row>
    <row r="635" spans="8:22">
      <c r="H635"/>
      <c r="I635"/>
      <c r="V635" s="224"/>
    </row>
    <row r="636" spans="8:22">
      <c r="H636"/>
      <c r="I636"/>
      <c r="V636" s="224"/>
    </row>
    <row r="637" spans="8:22">
      <c r="H637"/>
      <c r="I637"/>
      <c r="V637" s="224"/>
    </row>
    <row r="638" spans="8:22">
      <c r="H638"/>
      <c r="I638"/>
      <c r="V638" s="224"/>
    </row>
    <row r="639" spans="8:22">
      <c r="H639"/>
      <c r="I639"/>
      <c r="V639" s="224"/>
    </row>
    <row r="640" spans="8:22">
      <c r="H640"/>
      <c r="I640"/>
      <c r="V640" s="224"/>
    </row>
    <row r="641" spans="8:22">
      <c r="H641"/>
      <c r="I641"/>
      <c r="V641" s="224"/>
    </row>
    <row r="642" spans="8:22">
      <c r="H642"/>
      <c r="I642"/>
      <c r="V642" s="224"/>
    </row>
    <row r="643" spans="8:22">
      <c r="H643"/>
      <c r="I643"/>
      <c r="V643" s="224"/>
    </row>
    <row r="644" spans="8:22">
      <c r="H644"/>
      <c r="I644"/>
      <c r="V644" s="224"/>
    </row>
    <row r="645" spans="8:22">
      <c r="H645"/>
      <c r="I645"/>
      <c r="V645" s="224"/>
    </row>
    <row r="646" spans="8:22">
      <c r="H646"/>
      <c r="I646"/>
      <c r="V646" s="224"/>
    </row>
    <row r="647" spans="8:22">
      <c r="H647"/>
      <c r="I647"/>
      <c r="V647" s="224"/>
    </row>
    <row r="648" spans="8:22">
      <c r="H648"/>
      <c r="I648"/>
      <c r="V648" s="224"/>
    </row>
    <row r="649" spans="8:22">
      <c r="H649"/>
      <c r="I649"/>
      <c r="V649" s="224"/>
    </row>
    <row r="650" spans="8:22">
      <c r="H650"/>
      <c r="I650"/>
      <c r="V650" s="224"/>
    </row>
    <row r="651" spans="8:22">
      <c r="H651"/>
      <c r="I651"/>
      <c r="V651" s="224"/>
    </row>
    <row r="652" spans="8:22">
      <c r="H652"/>
      <c r="I652"/>
      <c r="V652" s="224"/>
    </row>
    <row r="653" spans="8:22">
      <c r="H653"/>
      <c r="I653"/>
      <c r="V653" s="224"/>
    </row>
    <row r="654" spans="8:22">
      <c r="H654"/>
      <c r="I654"/>
      <c r="V654" s="224"/>
    </row>
    <row r="655" spans="8:22">
      <c r="H655"/>
      <c r="I655"/>
      <c r="V655" s="224"/>
    </row>
    <row r="656" spans="8:22">
      <c r="H656"/>
      <c r="I656"/>
      <c r="V656" s="220" t="s">
        <v>397</v>
      </c>
    </row>
    <row r="657" spans="8:9">
      <c r="H657"/>
      <c r="I657"/>
    </row>
    <row r="658" spans="8:9">
      <c r="H658"/>
      <c r="I658"/>
    </row>
    <row r="659" spans="8:9">
      <c r="H659"/>
      <c r="I659"/>
    </row>
    <row r="660" spans="8:9">
      <c r="H660"/>
      <c r="I660"/>
    </row>
    <row r="661" spans="8:9">
      <c r="H661"/>
      <c r="I661"/>
    </row>
    <row r="662" spans="8:9">
      <c r="H662"/>
      <c r="I662"/>
    </row>
    <row r="663" spans="8:9">
      <c r="H663"/>
      <c r="I663"/>
    </row>
    <row r="664" spans="8:9">
      <c r="H664"/>
      <c r="I664"/>
    </row>
    <row r="665" spans="8:9">
      <c r="H665"/>
      <c r="I665"/>
    </row>
    <row r="666" spans="8:9">
      <c r="H666"/>
    </row>
    <row r="667" spans="8:9">
      <c r="H667"/>
    </row>
    <row r="668" spans="8:9">
      <c r="H668"/>
    </row>
    <row r="669" spans="8:9">
      <c r="H669"/>
    </row>
    <row r="670" spans="8:9">
      <c r="H670"/>
    </row>
    <row r="671" spans="8:9">
      <c r="H671"/>
    </row>
    <row r="672" spans="8:9">
      <c r="H672"/>
    </row>
    <row r="673" spans="8:8">
      <c r="H673"/>
    </row>
    <row r="674" spans="8:8">
      <c r="H674"/>
    </row>
    <row r="675" spans="8:8">
      <c r="H675"/>
    </row>
    <row r="676" spans="8:8">
      <c r="H676"/>
    </row>
    <row r="677" spans="8:8">
      <c r="H677"/>
    </row>
    <row r="678" spans="8:8">
      <c r="H678"/>
    </row>
    <row r="679" spans="8:8">
      <c r="H679"/>
    </row>
    <row r="680" spans="8:8">
      <c r="H680"/>
    </row>
    <row r="681" spans="8:8">
      <c r="H681"/>
    </row>
    <row r="682" spans="8:8">
      <c r="H682"/>
    </row>
    <row r="683" spans="8:8">
      <c r="H683"/>
    </row>
    <row r="684" spans="8:8">
      <c r="H684"/>
    </row>
    <row r="685" spans="8:8">
      <c r="H685"/>
    </row>
    <row r="686" spans="8:8">
      <c r="H686"/>
    </row>
    <row r="687" spans="8:8">
      <c r="H687"/>
    </row>
    <row r="688" spans="8:8">
      <c r="H688"/>
    </row>
    <row r="689" spans="8:8">
      <c r="H689"/>
    </row>
    <row r="690" spans="8:8">
      <c r="H690"/>
    </row>
    <row r="691" spans="8:8">
      <c r="H691"/>
    </row>
    <row r="692" spans="8:8">
      <c r="H692"/>
    </row>
    <row r="693" spans="8:8">
      <c r="H693"/>
    </row>
    <row r="694" spans="8:8">
      <c r="H694"/>
    </row>
    <row r="695" spans="8:8">
      <c r="H695"/>
    </row>
    <row r="696" spans="8:8">
      <c r="H696"/>
    </row>
    <row r="697" spans="8:8">
      <c r="H697"/>
    </row>
    <row r="698" spans="8:8">
      <c r="H698"/>
    </row>
    <row r="699" spans="8:8">
      <c r="H699"/>
    </row>
    <row r="700" spans="8:8">
      <c r="H700"/>
    </row>
    <row r="701" spans="8:8">
      <c r="H701"/>
    </row>
    <row r="702" spans="8:8">
      <c r="H702"/>
    </row>
    <row r="703" spans="8:8">
      <c r="H703"/>
    </row>
    <row r="704" spans="8:8">
      <c r="H704"/>
    </row>
    <row r="705" spans="8:8">
      <c r="H705"/>
    </row>
    <row r="706" spans="8:8">
      <c r="H706"/>
    </row>
    <row r="707" spans="8:8">
      <c r="H707"/>
    </row>
    <row r="708" spans="8:8">
      <c r="H708"/>
    </row>
    <row r="709" spans="8:8">
      <c r="H709"/>
    </row>
    <row r="710" spans="8:8">
      <c r="H710"/>
    </row>
    <row r="711" spans="8:8">
      <c r="H711"/>
    </row>
    <row r="712" spans="8:8">
      <c r="H712"/>
    </row>
    <row r="713" spans="8:8">
      <c r="H713"/>
    </row>
    <row r="714" spans="8:8">
      <c r="H714"/>
    </row>
    <row r="715" spans="8:8">
      <c r="H715"/>
    </row>
    <row r="716" spans="8:8">
      <c r="H716"/>
    </row>
    <row r="717" spans="8:8">
      <c r="H717"/>
    </row>
    <row r="718" spans="8:8">
      <c r="H718"/>
    </row>
    <row r="719" spans="8:8">
      <c r="H719"/>
    </row>
    <row r="720" spans="8:8">
      <c r="H720"/>
    </row>
    <row r="721" spans="8:8">
      <c r="H721"/>
    </row>
    <row r="722" spans="8:8">
      <c r="H722"/>
    </row>
    <row r="723" spans="8:8">
      <c r="H723"/>
    </row>
    <row r="724" spans="8:8">
      <c r="H724"/>
    </row>
    <row r="725" spans="8:8">
      <c r="H725"/>
    </row>
    <row r="726" spans="8:8">
      <c r="H726"/>
    </row>
    <row r="727" spans="8:8">
      <c r="H727"/>
    </row>
    <row r="728" spans="8:8">
      <c r="H728"/>
    </row>
    <row r="729" spans="8:8">
      <c r="H729"/>
    </row>
    <row r="730" spans="8:8">
      <c r="H730"/>
    </row>
    <row r="731" spans="8:8">
      <c r="H731"/>
    </row>
    <row r="732" spans="8:8">
      <c r="H732"/>
    </row>
    <row r="733" spans="8:8">
      <c r="H733"/>
    </row>
    <row r="734" spans="8:8">
      <c r="H734"/>
    </row>
    <row r="735" spans="8:8">
      <c r="H735"/>
    </row>
    <row r="736" spans="8:8">
      <c r="H736"/>
    </row>
    <row r="737" spans="8:8">
      <c r="H737"/>
    </row>
    <row r="738" spans="8:8">
      <c r="H738"/>
    </row>
    <row r="739" spans="8:8">
      <c r="H739"/>
    </row>
    <row r="740" spans="8:8">
      <c r="H740"/>
    </row>
    <row r="741" spans="8:8">
      <c r="H741"/>
    </row>
    <row r="742" spans="8:8">
      <c r="H742"/>
    </row>
    <row r="743" spans="8:8">
      <c r="H743"/>
    </row>
    <row r="744" spans="8:8">
      <c r="H744"/>
    </row>
    <row r="745" spans="8:8">
      <c r="H745"/>
    </row>
    <row r="746" spans="8:8">
      <c r="H746"/>
    </row>
    <row r="747" spans="8:8">
      <c r="H747"/>
    </row>
    <row r="748" spans="8:8">
      <c r="H748"/>
    </row>
    <row r="749" spans="8:8">
      <c r="H749"/>
    </row>
    <row r="750" spans="8:8">
      <c r="H750"/>
    </row>
    <row r="751" spans="8:8">
      <c r="H751"/>
    </row>
    <row r="752" spans="8:8">
      <c r="H752"/>
    </row>
    <row r="753" spans="8:8">
      <c r="H753"/>
    </row>
    <row r="754" spans="8:8">
      <c r="H754"/>
    </row>
    <row r="755" spans="8:8">
      <c r="H755"/>
    </row>
    <row r="756" spans="8:8">
      <c r="H756"/>
    </row>
    <row r="757" spans="8:8">
      <c r="H757"/>
    </row>
    <row r="758" spans="8:8">
      <c r="H758"/>
    </row>
    <row r="759" spans="8:8">
      <c r="H759"/>
    </row>
    <row r="760" spans="8:8">
      <c r="H760"/>
    </row>
    <row r="761" spans="8:8">
      <c r="H761"/>
    </row>
    <row r="762" spans="8:8">
      <c r="H762"/>
    </row>
    <row r="763" spans="8:8">
      <c r="H763"/>
    </row>
    <row r="764" spans="8:8">
      <c r="H764"/>
    </row>
    <row r="765" spans="8:8">
      <c r="H765"/>
    </row>
    <row r="766" spans="8:8">
      <c r="H766"/>
    </row>
    <row r="767" spans="8:8">
      <c r="H767"/>
    </row>
    <row r="768" spans="8:8">
      <c r="H768"/>
    </row>
    <row r="769" spans="8:8">
      <c r="H769"/>
    </row>
    <row r="770" spans="8:8">
      <c r="H770"/>
    </row>
    <row r="771" spans="8:8">
      <c r="H771"/>
    </row>
    <row r="772" spans="8:8">
      <c r="H772"/>
    </row>
    <row r="773" spans="8:8">
      <c r="H773"/>
    </row>
    <row r="774" spans="8:8">
      <c r="H774"/>
    </row>
    <row r="775" spans="8:8">
      <c r="H775"/>
    </row>
    <row r="776" spans="8:8">
      <c r="H776"/>
    </row>
    <row r="777" spans="8:8">
      <c r="H777"/>
    </row>
    <row r="778" spans="8:8">
      <c r="H778"/>
    </row>
    <row r="779" spans="8:8">
      <c r="H779"/>
    </row>
    <row r="780" spans="8:8">
      <c r="H780"/>
    </row>
    <row r="781" spans="8:8">
      <c r="H781"/>
    </row>
    <row r="782" spans="8:8">
      <c r="H782"/>
    </row>
    <row r="783" spans="8:8">
      <c r="H783"/>
    </row>
    <row r="784" spans="8:8">
      <c r="H784"/>
    </row>
    <row r="785" spans="8:8">
      <c r="H785"/>
    </row>
    <row r="786" spans="8:8">
      <c r="H786"/>
    </row>
    <row r="787" spans="8:8">
      <c r="H787"/>
    </row>
    <row r="788" spans="8:8">
      <c r="H788"/>
    </row>
    <row r="789" spans="8:8">
      <c r="H789"/>
    </row>
    <row r="790" spans="8:8">
      <c r="H790"/>
    </row>
    <row r="791" spans="8:8">
      <c r="H791"/>
    </row>
    <row r="792" spans="8:8">
      <c r="H792"/>
    </row>
    <row r="793" spans="8:8">
      <c r="H793"/>
    </row>
    <row r="794" spans="8:8">
      <c r="H794"/>
    </row>
    <row r="795" spans="8:8">
      <c r="H795"/>
    </row>
    <row r="796" spans="8:8">
      <c r="H796"/>
    </row>
    <row r="797" spans="8:8">
      <c r="H797"/>
    </row>
    <row r="798" spans="8:8">
      <c r="H798"/>
    </row>
    <row r="799" spans="8:8">
      <c r="H799"/>
    </row>
    <row r="800" spans="8:8">
      <c r="H800"/>
    </row>
    <row r="801" spans="8:8">
      <c r="H801"/>
    </row>
    <row r="802" spans="8:8">
      <c r="H802"/>
    </row>
    <row r="803" spans="8:8">
      <c r="H803"/>
    </row>
    <row r="804" spans="8:8">
      <c r="H804"/>
    </row>
    <row r="805" spans="8:8">
      <c r="H805"/>
    </row>
    <row r="806" spans="8:8">
      <c r="H806"/>
    </row>
    <row r="807" spans="8:8">
      <c r="H807"/>
    </row>
    <row r="808" spans="8:8">
      <c r="H808"/>
    </row>
    <row r="809" spans="8:8">
      <c r="H809"/>
    </row>
    <row r="810" spans="8:8">
      <c r="H810"/>
    </row>
    <row r="811" spans="8:8">
      <c r="H811"/>
    </row>
    <row r="812" spans="8:8">
      <c r="H812"/>
    </row>
    <row r="813" spans="8:8">
      <c r="H813"/>
    </row>
    <row r="814" spans="8:8">
      <c r="H814"/>
    </row>
    <row r="815" spans="8:8">
      <c r="H815"/>
    </row>
    <row r="816" spans="8:8">
      <c r="H816"/>
    </row>
    <row r="817" spans="8:8">
      <c r="H817"/>
    </row>
    <row r="818" spans="8:8">
      <c r="H818"/>
    </row>
    <row r="819" spans="8:8">
      <c r="H819"/>
    </row>
    <row r="820" spans="8:8">
      <c r="H820"/>
    </row>
    <row r="821" spans="8:8">
      <c r="H821"/>
    </row>
    <row r="822" spans="8:8">
      <c r="H822"/>
    </row>
    <row r="823" spans="8:8">
      <c r="H823"/>
    </row>
    <row r="824" spans="8:8">
      <c r="H824"/>
    </row>
    <row r="825" spans="8:8">
      <c r="H825"/>
    </row>
    <row r="826" spans="8:8">
      <c r="H826"/>
    </row>
    <row r="827" spans="8:8">
      <c r="H827"/>
    </row>
    <row r="828" spans="8:8">
      <c r="H828"/>
    </row>
    <row r="829" spans="8:8">
      <c r="H829"/>
    </row>
    <row r="830" spans="8:8">
      <c r="H830"/>
    </row>
    <row r="831" spans="8:8">
      <c r="H831"/>
    </row>
    <row r="832" spans="8:8">
      <c r="H832"/>
    </row>
    <row r="833" spans="8:8">
      <c r="H833"/>
    </row>
    <row r="834" spans="8:8">
      <c r="H834"/>
    </row>
    <row r="835" spans="8:8">
      <c r="H835"/>
    </row>
    <row r="836" spans="8:8">
      <c r="H836"/>
    </row>
    <row r="837" spans="8:8">
      <c r="H837"/>
    </row>
    <row r="838" spans="8:8">
      <c r="H838"/>
    </row>
    <row r="839" spans="8:8">
      <c r="H839"/>
    </row>
    <row r="840" spans="8:8">
      <c r="H840"/>
    </row>
    <row r="841" spans="8:8">
      <c r="H841"/>
    </row>
    <row r="842" spans="8:8">
      <c r="H842"/>
    </row>
    <row r="843" spans="8:8">
      <c r="H843"/>
    </row>
    <row r="844" spans="8:8">
      <c r="H844"/>
    </row>
    <row r="845" spans="8:8">
      <c r="H845"/>
    </row>
    <row r="846" spans="8:8">
      <c r="H846"/>
    </row>
    <row r="847" spans="8:8">
      <c r="H847"/>
    </row>
    <row r="848" spans="8:8">
      <c r="H848"/>
    </row>
    <row r="849" spans="8:8">
      <c r="H849"/>
    </row>
    <row r="850" spans="8:8">
      <c r="H850"/>
    </row>
    <row r="851" spans="8:8">
      <c r="H851"/>
    </row>
    <row r="852" spans="8:8">
      <c r="H852"/>
    </row>
    <row r="853" spans="8:8">
      <c r="H853"/>
    </row>
    <row r="854" spans="8:8">
      <c r="H854"/>
    </row>
    <row r="855" spans="8:8">
      <c r="H855"/>
    </row>
    <row r="856" spans="8:8">
      <c r="H856"/>
    </row>
    <row r="857" spans="8:8">
      <c r="H857"/>
    </row>
    <row r="858" spans="8:8">
      <c r="H858"/>
    </row>
    <row r="859" spans="8:8">
      <c r="H859"/>
    </row>
    <row r="860" spans="8:8">
      <c r="H860"/>
    </row>
    <row r="861" spans="8:8">
      <c r="H861"/>
    </row>
    <row r="862" spans="8:8">
      <c r="H862"/>
    </row>
    <row r="863" spans="8:8">
      <c r="H863"/>
    </row>
    <row r="864" spans="8:8">
      <c r="H864"/>
    </row>
    <row r="865" spans="8:8">
      <c r="H865"/>
    </row>
    <row r="866" spans="8:8">
      <c r="H866"/>
    </row>
    <row r="867" spans="8:8">
      <c r="H867"/>
    </row>
    <row r="868" spans="8:8">
      <c r="H868"/>
    </row>
    <row r="869" spans="8:8">
      <c r="H869"/>
    </row>
    <row r="870" spans="8:8">
      <c r="H870"/>
    </row>
    <row r="871" spans="8:8">
      <c r="H871"/>
    </row>
    <row r="872" spans="8:8">
      <c r="H872"/>
    </row>
    <row r="873" spans="8:8">
      <c r="H873"/>
    </row>
    <row r="874" spans="8:8">
      <c r="H874"/>
    </row>
    <row r="875" spans="8:8">
      <c r="H875"/>
    </row>
    <row r="876" spans="8:8">
      <c r="H876"/>
    </row>
    <row r="877" spans="8:8">
      <c r="H877"/>
    </row>
    <row r="878" spans="8:8">
      <c r="H878"/>
    </row>
    <row r="879" spans="8:8">
      <c r="H879"/>
    </row>
    <row r="880" spans="8:8">
      <c r="H880"/>
    </row>
    <row r="881" spans="8:8">
      <c r="H881"/>
    </row>
    <row r="882" spans="8:8">
      <c r="H882"/>
    </row>
    <row r="883" spans="8:8">
      <c r="H883"/>
    </row>
    <row r="884" spans="8:8">
      <c r="H884"/>
    </row>
    <row r="885" spans="8:8">
      <c r="H885"/>
    </row>
    <row r="886" spans="8:8">
      <c r="H886"/>
    </row>
    <row r="887" spans="8:8">
      <c r="H887"/>
    </row>
    <row r="888" spans="8:8">
      <c r="H888"/>
    </row>
    <row r="889" spans="8:8">
      <c r="H889"/>
    </row>
    <row r="890" spans="8:8">
      <c r="H890"/>
    </row>
    <row r="891" spans="8:8">
      <c r="H891"/>
    </row>
    <row r="892" spans="8:8">
      <c r="H892"/>
    </row>
    <row r="893" spans="8:8">
      <c r="H893"/>
    </row>
    <row r="894" spans="8:8">
      <c r="H894"/>
    </row>
    <row r="895" spans="8:8">
      <c r="H895"/>
    </row>
    <row r="896" spans="8:8">
      <c r="H896"/>
    </row>
    <row r="897" spans="8:8">
      <c r="H897"/>
    </row>
    <row r="898" spans="8:8">
      <c r="H898"/>
    </row>
    <row r="899" spans="8:8">
      <c r="H899"/>
    </row>
    <row r="900" spans="8:8">
      <c r="H900"/>
    </row>
    <row r="901" spans="8:8">
      <c r="H901"/>
    </row>
    <row r="902" spans="8:8">
      <c r="H902"/>
    </row>
    <row r="903" spans="8:8">
      <c r="H903"/>
    </row>
    <row r="904" spans="8:8">
      <c r="H904"/>
    </row>
    <row r="905" spans="8:8">
      <c r="H905"/>
    </row>
    <row r="906" spans="8:8">
      <c r="H906"/>
    </row>
    <row r="907" spans="8:8">
      <c r="H907"/>
    </row>
    <row r="908" spans="8:8">
      <c r="H908"/>
    </row>
    <row r="909" spans="8:8">
      <c r="H909"/>
    </row>
    <row r="910" spans="8:8">
      <c r="H910"/>
    </row>
    <row r="911" spans="8:8">
      <c r="H911"/>
    </row>
    <row r="912" spans="8:8">
      <c r="H912"/>
    </row>
    <row r="913" spans="8:8">
      <c r="H913"/>
    </row>
    <row r="914" spans="8:8">
      <c r="H914"/>
    </row>
    <row r="915" spans="8:8">
      <c r="H915"/>
    </row>
    <row r="916" spans="8:8">
      <c r="H916"/>
    </row>
    <row r="917" spans="8:8">
      <c r="H917"/>
    </row>
    <row r="918" spans="8:8">
      <c r="H918"/>
    </row>
    <row r="919" spans="8:8">
      <c r="H919"/>
    </row>
    <row r="920" spans="8:8">
      <c r="H920"/>
    </row>
    <row r="921" spans="8:8">
      <c r="H921"/>
    </row>
    <row r="922" spans="8:8">
      <c r="H922"/>
    </row>
    <row r="923" spans="8:8">
      <c r="H923"/>
    </row>
    <row r="924" spans="8:8">
      <c r="H924"/>
    </row>
    <row r="925" spans="8:8">
      <c r="H925"/>
    </row>
    <row r="926" spans="8:8">
      <c r="H926"/>
    </row>
    <row r="927" spans="8:8">
      <c r="H927"/>
    </row>
    <row r="928" spans="8:8">
      <c r="H928"/>
    </row>
    <row r="929" spans="8:8">
      <c r="H929"/>
    </row>
    <row r="930" spans="8:8">
      <c r="H930"/>
    </row>
    <row r="931" spans="8:8">
      <c r="H931"/>
    </row>
    <row r="932" spans="8:8">
      <c r="H932"/>
    </row>
    <row r="933" spans="8:8">
      <c r="H933"/>
    </row>
    <row r="934" spans="8:8">
      <c r="H934"/>
    </row>
    <row r="935" spans="8:8">
      <c r="H935"/>
    </row>
    <row r="936" spans="8:8">
      <c r="H936"/>
    </row>
    <row r="937" spans="8:8">
      <c r="H937"/>
    </row>
    <row r="938" spans="8:8">
      <c r="H938"/>
    </row>
    <row r="939" spans="8:8">
      <c r="H939"/>
    </row>
    <row r="940" spans="8:8">
      <c r="H940"/>
    </row>
    <row r="941" spans="8:8">
      <c r="H941"/>
    </row>
    <row r="942" spans="8:8">
      <c r="H942"/>
    </row>
    <row r="943" spans="8:8">
      <c r="H943"/>
    </row>
    <row r="944" spans="8:8">
      <c r="H944"/>
    </row>
    <row r="945" spans="8:8">
      <c r="H945"/>
    </row>
    <row r="946" spans="8:8">
      <c r="H946"/>
    </row>
    <row r="947" spans="8:8">
      <c r="H947"/>
    </row>
    <row r="948" spans="8:8">
      <c r="H948"/>
    </row>
    <row r="949" spans="8:8">
      <c r="H949"/>
    </row>
    <row r="950" spans="8:8">
      <c r="H950"/>
    </row>
    <row r="951" spans="8:8">
      <c r="H951"/>
    </row>
    <row r="952" spans="8:8">
      <c r="H952"/>
    </row>
    <row r="953" spans="8:8">
      <c r="H953"/>
    </row>
    <row r="954" spans="8:8">
      <c r="H954"/>
    </row>
    <row r="955" spans="8:8">
      <c r="H955"/>
    </row>
    <row r="956" spans="8:8">
      <c r="H956"/>
    </row>
    <row r="957" spans="8:8">
      <c r="H957"/>
    </row>
    <row r="958" spans="8:8">
      <c r="H958"/>
    </row>
    <row r="959" spans="8:8">
      <c r="H959"/>
    </row>
    <row r="960" spans="8:8">
      <c r="H960"/>
    </row>
    <row r="961" spans="8:8">
      <c r="H961"/>
    </row>
    <row r="962" spans="8:8">
      <c r="H962"/>
    </row>
    <row r="963" spans="8:8">
      <c r="H963"/>
    </row>
    <row r="964" spans="8:8">
      <c r="H964"/>
    </row>
    <row r="965" spans="8:8">
      <c r="H965"/>
    </row>
    <row r="966" spans="8:8">
      <c r="H966"/>
    </row>
    <row r="967" spans="8:8">
      <c r="H967"/>
    </row>
    <row r="968" spans="8:8">
      <c r="H968"/>
    </row>
    <row r="969" spans="8:8">
      <c r="H969"/>
    </row>
    <row r="970" spans="8:8">
      <c r="H970"/>
    </row>
    <row r="971" spans="8:8">
      <c r="H971"/>
    </row>
    <row r="972" spans="8:8">
      <c r="H972"/>
    </row>
    <row r="973" spans="8:8">
      <c r="H973"/>
    </row>
    <row r="974" spans="8:8">
      <c r="H974"/>
    </row>
    <row r="975" spans="8:8">
      <c r="H975"/>
    </row>
    <row r="976" spans="8:8">
      <c r="H976"/>
    </row>
    <row r="977" spans="8:8">
      <c r="H977"/>
    </row>
    <row r="978" spans="8:8">
      <c r="H978"/>
    </row>
    <row r="979" spans="8:8">
      <c r="H979"/>
    </row>
    <row r="980" spans="8:8">
      <c r="H980"/>
    </row>
    <row r="981" spans="8:8">
      <c r="H981"/>
    </row>
    <row r="982" spans="8:8">
      <c r="H982"/>
    </row>
    <row r="983" spans="8:8">
      <c r="H983"/>
    </row>
    <row r="984" spans="8:8">
      <c r="H984"/>
    </row>
    <row r="985" spans="8:8">
      <c r="H985"/>
    </row>
    <row r="986" spans="8:8">
      <c r="H986"/>
    </row>
    <row r="987" spans="8:8">
      <c r="H987"/>
    </row>
    <row r="988" spans="8:8">
      <c r="H988"/>
    </row>
    <row r="989" spans="8:8">
      <c r="H989"/>
    </row>
    <row r="990" spans="8:8">
      <c r="H990"/>
    </row>
    <row r="991" spans="8:8">
      <c r="H991"/>
    </row>
    <row r="992" spans="8:8">
      <c r="H992"/>
    </row>
    <row r="993" spans="8:8">
      <c r="H993"/>
    </row>
    <row r="994" spans="8:8">
      <c r="H994"/>
    </row>
    <row r="995" spans="8:8">
      <c r="H995"/>
    </row>
    <row r="996" spans="8:8">
      <c r="H996"/>
    </row>
    <row r="997" spans="8:8">
      <c r="H997"/>
    </row>
    <row r="998" spans="8:8">
      <c r="H998"/>
    </row>
    <row r="999" spans="8:8">
      <c r="H999"/>
    </row>
    <row r="1000" spans="8:8">
      <c r="H1000"/>
    </row>
  </sheetData>
  <mergeCells count="14">
    <mergeCell ref="A524:I524"/>
    <mergeCell ref="A525:I525"/>
    <mergeCell ref="A526:I526"/>
    <mergeCell ref="B519:M519"/>
    <mergeCell ref="A520:I520"/>
    <mergeCell ref="A521:I521"/>
    <mergeCell ref="A522:I522"/>
    <mergeCell ref="A523:I523"/>
    <mergeCell ref="AP9:AP10"/>
    <mergeCell ref="A1:R1"/>
    <mergeCell ref="A2:R2"/>
    <mergeCell ref="A3:R3"/>
    <mergeCell ref="A4:R4"/>
    <mergeCell ref="A5:R5"/>
  </mergeCells>
  <conditionalFormatting sqref="C7:C501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20BB-F594-45F1-BD9B-528C7102D949}">
  <sheetPr>
    <outlinePr summaryBelow="0" summaryRight="0"/>
  </sheetPr>
  <dimension ref="A1:AB13"/>
  <sheetViews>
    <sheetView showGridLines="0" topLeftCell="H1" zoomScale="71" workbookViewId="0">
      <selection activeCell="AB1" sqref="AB1"/>
    </sheetView>
  </sheetViews>
  <sheetFormatPr defaultRowHeight="12.75"/>
  <cols>
    <col min="1" max="1" width="13.7109375" style="162" customWidth="1"/>
    <col min="2" max="2" width="10.28515625" style="162" customWidth="1"/>
    <col min="3" max="3" width="18.85546875" style="162" customWidth="1"/>
    <col min="4" max="4" width="25.7109375" style="162" customWidth="1"/>
    <col min="5" max="6" width="22.28515625" style="162" customWidth="1"/>
    <col min="7" max="7" width="15.42578125" style="162" customWidth="1"/>
    <col min="8" max="8" width="18.85546875" style="162" customWidth="1"/>
    <col min="9" max="9" width="22.28515625" style="162" customWidth="1"/>
    <col min="10" max="11" width="17.140625" style="162" customWidth="1"/>
    <col min="12" max="13" width="3.42578125" style="162" customWidth="1"/>
    <col min="14" max="20" width="17.140625" style="162" customWidth="1"/>
    <col min="21" max="21" width="22.28515625" style="162" customWidth="1"/>
    <col min="22" max="23" width="17.140625" style="162" customWidth="1"/>
    <col min="24" max="24" width="20.5703125" style="162" customWidth="1"/>
    <col min="25" max="25" width="32.28515625" style="162" customWidth="1"/>
    <col min="26" max="26" width="0.28515625" style="162" customWidth="1"/>
    <col min="27" max="256" width="9.140625" style="162"/>
    <col min="257" max="257" width="13.7109375" style="162" customWidth="1"/>
    <col min="258" max="258" width="10.28515625" style="162" customWidth="1"/>
    <col min="259" max="259" width="18.85546875" style="162" customWidth="1"/>
    <col min="260" max="260" width="25.7109375" style="162" customWidth="1"/>
    <col min="261" max="262" width="22.28515625" style="162" customWidth="1"/>
    <col min="263" max="263" width="15.42578125" style="162" customWidth="1"/>
    <col min="264" max="264" width="18.85546875" style="162" customWidth="1"/>
    <col min="265" max="265" width="22.28515625" style="162" customWidth="1"/>
    <col min="266" max="267" width="17.140625" style="162" customWidth="1"/>
    <col min="268" max="269" width="3.42578125" style="162" customWidth="1"/>
    <col min="270" max="276" width="17.140625" style="162" customWidth="1"/>
    <col min="277" max="277" width="22.28515625" style="162" customWidth="1"/>
    <col min="278" max="279" width="17.140625" style="162" customWidth="1"/>
    <col min="280" max="280" width="20.5703125" style="162" customWidth="1"/>
    <col min="281" max="281" width="32.28515625" style="162" customWidth="1"/>
    <col min="282" max="282" width="0.28515625" style="162" customWidth="1"/>
    <col min="283" max="512" width="9.140625" style="162"/>
    <col min="513" max="513" width="13.7109375" style="162" customWidth="1"/>
    <col min="514" max="514" width="10.28515625" style="162" customWidth="1"/>
    <col min="515" max="515" width="18.85546875" style="162" customWidth="1"/>
    <col min="516" max="516" width="25.7109375" style="162" customWidth="1"/>
    <col min="517" max="518" width="22.28515625" style="162" customWidth="1"/>
    <col min="519" max="519" width="15.42578125" style="162" customWidth="1"/>
    <col min="520" max="520" width="18.85546875" style="162" customWidth="1"/>
    <col min="521" max="521" width="22.28515625" style="162" customWidth="1"/>
    <col min="522" max="523" width="17.140625" style="162" customWidth="1"/>
    <col min="524" max="525" width="3.42578125" style="162" customWidth="1"/>
    <col min="526" max="532" width="17.140625" style="162" customWidth="1"/>
    <col min="533" max="533" width="22.28515625" style="162" customWidth="1"/>
    <col min="534" max="535" width="17.140625" style="162" customWidth="1"/>
    <col min="536" max="536" width="20.5703125" style="162" customWidth="1"/>
    <col min="537" max="537" width="32.28515625" style="162" customWidth="1"/>
    <col min="538" max="538" width="0.28515625" style="162" customWidth="1"/>
    <col min="539" max="768" width="9.140625" style="162"/>
    <col min="769" max="769" width="13.7109375" style="162" customWidth="1"/>
    <col min="770" max="770" width="10.28515625" style="162" customWidth="1"/>
    <col min="771" max="771" width="18.85546875" style="162" customWidth="1"/>
    <col min="772" max="772" width="25.7109375" style="162" customWidth="1"/>
    <col min="773" max="774" width="22.28515625" style="162" customWidth="1"/>
    <col min="775" max="775" width="15.42578125" style="162" customWidth="1"/>
    <col min="776" max="776" width="18.85546875" style="162" customWidth="1"/>
    <col min="777" max="777" width="22.28515625" style="162" customWidth="1"/>
    <col min="778" max="779" width="17.140625" style="162" customWidth="1"/>
    <col min="780" max="781" width="3.42578125" style="162" customWidth="1"/>
    <col min="782" max="788" width="17.140625" style="162" customWidth="1"/>
    <col min="789" max="789" width="22.28515625" style="162" customWidth="1"/>
    <col min="790" max="791" width="17.140625" style="162" customWidth="1"/>
    <col min="792" max="792" width="20.5703125" style="162" customWidth="1"/>
    <col min="793" max="793" width="32.28515625" style="162" customWidth="1"/>
    <col min="794" max="794" width="0.28515625" style="162" customWidth="1"/>
    <col min="795" max="1024" width="9.140625" style="162"/>
    <col min="1025" max="1025" width="13.7109375" style="162" customWidth="1"/>
    <col min="1026" max="1026" width="10.28515625" style="162" customWidth="1"/>
    <col min="1027" max="1027" width="18.85546875" style="162" customWidth="1"/>
    <col min="1028" max="1028" width="25.7109375" style="162" customWidth="1"/>
    <col min="1029" max="1030" width="22.28515625" style="162" customWidth="1"/>
    <col min="1031" max="1031" width="15.42578125" style="162" customWidth="1"/>
    <col min="1032" max="1032" width="18.85546875" style="162" customWidth="1"/>
    <col min="1033" max="1033" width="22.28515625" style="162" customWidth="1"/>
    <col min="1034" max="1035" width="17.140625" style="162" customWidth="1"/>
    <col min="1036" max="1037" width="3.42578125" style="162" customWidth="1"/>
    <col min="1038" max="1044" width="17.140625" style="162" customWidth="1"/>
    <col min="1045" max="1045" width="22.28515625" style="162" customWidth="1"/>
    <col min="1046" max="1047" width="17.140625" style="162" customWidth="1"/>
    <col min="1048" max="1048" width="20.5703125" style="162" customWidth="1"/>
    <col min="1049" max="1049" width="32.28515625" style="162" customWidth="1"/>
    <col min="1050" max="1050" width="0.28515625" style="162" customWidth="1"/>
    <col min="1051" max="1280" width="9.140625" style="162"/>
    <col min="1281" max="1281" width="13.7109375" style="162" customWidth="1"/>
    <col min="1282" max="1282" width="10.28515625" style="162" customWidth="1"/>
    <col min="1283" max="1283" width="18.85546875" style="162" customWidth="1"/>
    <col min="1284" max="1284" width="25.7109375" style="162" customWidth="1"/>
    <col min="1285" max="1286" width="22.28515625" style="162" customWidth="1"/>
    <col min="1287" max="1287" width="15.42578125" style="162" customWidth="1"/>
    <col min="1288" max="1288" width="18.85546875" style="162" customWidth="1"/>
    <col min="1289" max="1289" width="22.28515625" style="162" customWidth="1"/>
    <col min="1290" max="1291" width="17.140625" style="162" customWidth="1"/>
    <col min="1292" max="1293" width="3.42578125" style="162" customWidth="1"/>
    <col min="1294" max="1300" width="17.140625" style="162" customWidth="1"/>
    <col min="1301" max="1301" width="22.28515625" style="162" customWidth="1"/>
    <col min="1302" max="1303" width="17.140625" style="162" customWidth="1"/>
    <col min="1304" max="1304" width="20.5703125" style="162" customWidth="1"/>
    <col min="1305" max="1305" width="32.28515625" style="162" customWidth="1"/>
    <col min="1306" max="1306" width="0.28515625" style="162" customWidth="1"/>
    <col min="1307" max="1536" width="9.140625" style="162"/>
    <col min="1537" max="1537" width="13.7109375" style="162" customWidth="1"/>
    <col min="1538" max="1538" width="10.28515625" style="162" customWidth="1"/>
    <col min="1539" max="1539" width="18.85546875" style="162" customWidth="1"/>
    <col min="1540" max="1540" width="25.7109375" style="162" customWidth="1"/>
    <col min="1541" max="1542" width="22.28515625" style="162" customWidth="1"/>
    <col min="1543" max="1543" width="15.42578125" style="162" customWidth="1"/>
    <col min="1544" max="1544" width="18.85546875" style="162" customWidth="1"/>
    <col min="1545" max="1545" width="22.28515625" style="162" customWidth="1"/>
    <col min="1546" max="1547" width="17.140625" style="162" customWidth="1"/>
    <col min="1548" max="1549" width="3.42578125" style="162" customWidth="1"/>
    <col min="1550" max="1556" width="17.140625" style="162" customWidth="1"/>
    <col min="1557" max="1557" width="22.28515625" style="162" customWidth="1"/>
    <col min="1558" max="1559" width="17.140625" style="162" customWidth="1"/>
    <col min="1560" max="1560" width="20.5703125" style="162" customWidth="1"/>
    <col min="1561" max="1561" width="32.28515625" style="162" customWidth="1"/>
    <col min="1562" max="1562" width="0.28515625" style="162" customWidth="1"/>
    <col min="1563" max="1792" width="9.140625" style="162"/>
    <col min="1793" max="1793" width="13.7109375" style="162" customWidth="1"/>
    <col min="1794" max="1794" width="10.28515625" style="162" customWidth="1"/>
    <col min="1795" max="1795" width="18.85546875" style="162" customWidth="1"/>
    <col min="1796" max="1796" width="25.7109375" style="162" customWidth="1"/>
    <col min="1797" max="1798" width="22.28515625" style="162" customWidth="1"/>
    <col min="1799" max="1799" width="15.42578125" style="162" customWidth="1"/>
    <col min="1800" max="1800" width="18.85546875" style="162" customWidth="1"/>
    <col min="1801" max="1801" width="22.28515625" style="162" customWidth="1"/>
    <col min="1802" max="1803" width="17.140625" style="162" customWidth="1"/>
    <col min="1804" max="1805" width="3.42578125" style="162" customWidth="1"/>
    <col min="1806" max="1812" width="17.140625" style="162" customWidth="1"/>
    <col min="1813" max="1813" width="22.28515625" style="162" customWidth="1"/>
    <col min="1814" max="1815" width="17.140625" style="162" customWidth="1"/>
    <col min="1816" max="1816" width="20.5703125" style="162" customWidth="1"/>
    <col min="1817" max="1817" width="32.28515625" style="162" customWidth="1"/>
    <col min="1818" max="1818" width="0.28515625" style="162" customWidth="1"/>
    <col min="1819" max="2048" width="9.140625" style="162"/>
    <col min="2049" max="2049" width="13.7109375" style="162" customWidth="1"/>
    <col min="2050" max="2050" width="10.28515625" style="162" customWidth="1"/>
    <col min="2051" max="2051" width="18.85546875" style="162" customWidth="1"/>
    <col min="2052" max="2052" width="25.7109375" style="162" customWidth="1"/>
    <col min="2053" max="2054" width="22.28515625" style="162" customWidth="1"/>
    <col min="2055" max="2055" width="15.42578125" style="162" customWidth="1"/>
    <col min="2056" max="2056" width="18.85546875" style="162" customWidth="1"/>
    <col min="2057" max="2057" width="22.28515625" style="162" customWidth="1"/>
    <col min="2058" max="2059" width="17.140625" style="162" customWidth="1"/>
    <col min="2060" max="2061" width="3.42578125" style="162" customWidth="1"/>
    <col min="2062" max="2068" width="17.140625" style="162" customWidth="1"/>
    <col min="2069" max="2069" width="22.28515625" style="162" customWidth="1"/>
    <col min="2070" max="2071" width="17.140625" style="162" customWidth="1"/>
    <col min="2072" max="2072" width="20.5703125" style="162" customWidth="1"/>
    <col min="2073" max="2073" width="32.28515625" style="162" customWidth="1"/>
    <col min="2074" max="2074" width="0.28515625" style="162" customWidth="1"/>
    <col min="2075" max="2304" width="9.140625" style="162"/>
    <col min="2305" max="2305" width="13.7109375" style="162" customWidth="1"/>
    <col min="2306" max="2306" width="10.28515625" style="162" customWidth="1"/>
    <col min="2307" max="2307" width="18.85546875" style="162" customWidth="1"/>
    <col min="2308" max="2308" width="25.7109375" style="162" customWidth="1"/>
    <col min="2309" max="2310" width="22.28515625" style="162" customWidth="1"/>
    <col min="2311" max="2311" width="15.42578125" style="162" customWidth="1"/>
    <col min="2312" max="2312" width="18.85546875" style="162" customWidth="1"/>
    <col min="2313" max="2313" width="22.28515625" style="162" customWidth="1"/>
    <col min="2314" max="2315" width="17.140625" style="162" customWidth="1"/>
    <col min="2316" max="2317" width="3.42578125" style="162" customWidth="1"/>
    <col min="2318" max="2324" width="17.140625" style="162" customWidth="1"/>
    <col min="2325" max="2325" width="22.28515625" style="162" customWidth="1"/>
    <col min="2326" max="2327" width="17.140625" style="162" customWidth="1"/>
    <col min="2328" max="2328" width="20.5703125" style="162" customWidth="1"/>
    <col min="2329" max="2329" width="32.28515625" style="162" customWidth="1"/>
    <col min="2330" max="2330" width="0.28515625" style="162" customWidth="1"/>
    <col min="2331" max="2560" width="9.140625" style="162"/>
    <col min="2561" max="2561" width="13.7109375" style="162" customWidth="1"/>
    <col min="2562" max="2562" width="10.28515625" style="162" customWidth="1"/>
    <col min="2563" max="2563" width="18.85546875" style="162" customWidth="1"/>
    <col min="2564" max="2564" width="25.7109375" style="162" customWidth="1"/>
    <col min="2565" max="2566" width="22.28515625" style="162" customWidth="1"/>
    <col min="2567" max="2567" width="15.42578125" style="162" customWidth="1"/>
    <col min="2568" max="2568" width="18.85546875" style="162" customWidth="1"/>
    <col min="2569" max="2569" width="22.28515625" style="162" customWidth="1"/>
    <col min="2570" max="2571" width="17.140625" style="162" customWidth="1"/>
    <col min="2572" max="2573" width="3.42578125" style="162" customWidth="1"/>
    <col min="2574" max="2580" width="17.140625" style="162" customWidth="1"/>
    <col min="2581" max="2581" width="22.28515625" style="162" customWidth="1"/>
    <col min="2582" max="2583" width="17.140625" style="162" customWidth="1"/>
    <col min="2584" max="2584" width="20.5703125" style="162" customWidth="1"/>
    <col min="2585" max="2585" width="32.28515625" style="162" customWidth="1"/>
    <col min="2586" max="2586" width="0.28515625" style="162" customWidth="1"/>
    <col min="2587" max="2816" width="9.140625" style="162"/>
    <col min="2817" max="2817" width="13.7109375" style="162" customWidth="1"/>
    <col min="2818" max="2818" width="10.28515625" style="162" customWidth="1"/>
    <col min="2819" max="2819" width="18.85546875" style="162" customWidth="1"/>
    <col min="2820" max="2820" width="25.7109375" style="162" customWidth="1"/>
    <col min="2821" max="2822" width="22.28515625" style="162" customWidth="1"/>
    <col min="2823" max="2823" width="15.42578125" style="162" customWidth="1"/>
    <col min="2824" max="2824" width="18.85546875" style="162" customWidth="1"/>
    <col min="2825" max="2825" width="22.28515625" style="162" customWidth="1"/>
    <col min="2826" max="2827" width="17.140625" style="162" customWidth="1"/>
    <col min="2828" max="2829" width="3.42578125" style="162" customWidth="1"/>
    <col min="2830" max="2836" width="17.140625" style="162" customWidth="1"/>
    <col min="2837" max="2837" width="22.28515625" style="162" customWidth="1"/>
    <col min="2838" max="2839" width="17.140625" style="162" customWidth="1"/>
    <col min="2840" max="2840" width="20.5703125" style="162" customWidth="1"/>
    <col min="2841" max="2841" width="32.28515625" style="162" customWidth="1"/>
    <col min="2842" max="2842" width="0.28515625" style="162" customWidth="1"/>
    <col min="2843" max="3072" width="9.140625" style="162"/>
    <col min="3073" max="3073" width="13.7109375" style="162" customWidth="1"/>
    <col min="3074" max="3074" width="10.28515625" style="162" customWidth="1"/>
    <col min="3075" max="3075" width="18.85546875" style="162" customWidth="1"/>
    <col min="3076" max="3076" width="25.7109375" style="162" customWidth="1"/>
    <col min="3077" max="3078" width="22.28515625" style="162" customWidth="1"/>
    <col min="3079" max="3079" width="15.42578125" style="162" customWidth="1"/>
    <col min="3080" max="3080" width="18.85546875" style="162" customWidth="1"/>
    <col min="3081" max="3081" width="22.28515625" style="162" customWidth="1"/>
    <col min="3082" max="3083" width="17.140625" style="162" customWidth="1"/>
    <col min="3084" max="3085" width="3.42578125" style="162" customWidth="1"/>
    <col min="3086" max="3092" width="17.140625" style="162" customWidth="1"/>
    <col min="3093" max="3093" width="22.28515625" style="162" customWidth="1"/>
    <col min="3094" max="3095" width="17.140625" style="162" customWidth="1"/>
    <col min="3096" max="3096" width="20.5703125" style="162" customWidth="1"/>
    <col min="3097" max="3097" width="32.28515625" style="162" customWidth="1"/>
    <col min="3098" max="3098" width="0.28515625" style="162" customWidth="1"/>
    <col min="3099" max="3328" width="9.140625" style="162"/>
    <col min="3329" max="3329" width="13.7109375" style="162" customWidth="1"/>
    <col min="3330" max="3330" width="10.28515625" style="162" customWidth="1"/>
    <col min="3331" max="3331" width="18.85546875" style="162" customWidth="1"/>
    <col min="3332" max="3332" width="25.7109375" style="162" customWidth="1"/>
    <col min="3333" max="3334" width="22.28515625" style="162" customWidth="1"/>
    <col min="3335" max="3335" width="15.42578125" style="162" customWidth="1"/>
    <col min="3336" max="3336" width="18.85546875" style="162" customWidth="1"/>
    <col min="3337" max="3337" width="22.28515625" style="162" customWidth="1"/>
    <col min="3338" max="3339" width="17.140625" style="162" customWidth="1"/>
    <col min="3340" max="3341" width="3.42578125" style="162" customWidth="1"/>
    <col min="3342" max="3348" width="17.140625" style="162" customWidth="1"/>
    <col min="3349" max="3349" width="22.28515625" style="162" customWidth="1"/>
    <col min="3350" max="3351" width="17.140625" style="162" customWidth="1"/>
    <col min="3352" max="3352" width="20.5703125" style="162" customWidth="1"/>
    <col min="3353" max="3353" width="32.28515625" style="162" customWidth="1"/>
    <col min="3354" max="3354" width="0.28515625" style="162" customWidth="1"/>
    <col min="3355" max="3584" width="9.140625" style="162"/>
    <col min="3585" max="3585" width="13.7109375" style="162" customWidth="1"/>
    <col min="3586" max="3586" width="10.28515625" style="162" customWidth="1"/>
    <col min="3587" max="3587" width="18.85546875" style="162" customWidth="1"/>
    <col min="3588" max="3588" width="25.7109375" style="162" customWidth="1"/>
    <col min="3589" max="3590" width="22.28515625" style="162" customWidth="1"/>
    <col min="3591" max="3591" width="15.42578125" style="162" customWidth="1"/>
    <col min="3592" max="3592" width="18.85546875" style="162" customWidth="1"/>
    <col min="3593" max="3593" width="22.28515625" style="162" customWidth="1"/>
    <col min="3594" max="3595" width="17.140625" style="162" customWidth="1"/>
    <col min="3596" max="3597" width="3.42578125" style="162" customWidth="1"/>
    <col min="3598" max="3604" width="17.140625" style="162" customWidth="1"/>
    <col min="3605" max="3605" width="22.28515625" style="162" customWidth="1"/>
    <col min="3606" max="3607" width="17.140625" style="162" customWidth="1"/>
    <col min="3608" max="3608" width="20.5703125" style="162" customWidth="1"/>
    <col min="3609" max="3609" width="32.28515625" style="162" customWidth="1"/>
    <col min="3610" max="3610" width="0.28515625" style="162" customWidth="1"/>
    <col min="3611" max="3840" width="9.140625" style="162"/>
    <col min="3841" max="3841" width="13.7109375" style="162" customWidth="1"/>
    <col min="3842" max="3842" width="10.28515625" style="162" customWidth="1"/>
    <col min="3843" max="3843" width="18.85546875" style="162" customWidth="1"/>
    <col min="3844" max="3844" width="25.7109375" style="162" customWidth="1"/>
    <col min="3845" max="3846" width="22.28515625" style="162" customWidth="1"/>
    <col min="3847" max="3847" width="15.42578125" style="162" customWidth="1"/>
    <col min="3848" max="3848" width="18.85546875" style="162" customWidth="1"/>
    <col min="3849" max="3849" width="22.28515625" style="162" customWidth="1"/>
    <col min="3850" max="3851" width="17.140625" style="162" customWidth="1"/>
    <col min="3852" max="3853" width="3.42578125" style="162" customWidth="1"/>
    <col min="3854" max="3860" width="17.140625" style="162" customWidth="1"/>
    <col min="3861" max="3861" width="22.28515625" style="162" customWidth="1"/>
    <col min="3862" max="3863" width="17.140625" style="162" customWidth="1"/>
    <col min="3864" max="3864" width="20.5703125" style="162" customWidth="1"/>
    <col min="3865" max="3865" width="32.28515625" style="162" customWidth="1"/>
    <col min="3866" max="3866" width="0.28515625" style="162" customWidth="1"/>
    <col min="3867" max="4096" width="9.140625" style="162"/>
    <col min="4097" max="4097" width="13.7109375" style="162" customWidth="1"/>
    <col min="4098" max="4098" width="10.28515625" style="162" customWidth="1"/>
    <col min="4099" max="4099" width="18.85546875" style="162" customWidth="1"/>
    <col min="4100" max="4100" width="25.7109375" style="162" customWidth="1"/>
    <col min="4101" max="4102" width="22.28515625" style="162" customWidth="1"/>
    <col min="4103" max="4103" width="15.42578125" style="162" customWidth="1"/>
    <col min="4104" max="4104" width="18.85546875" style="162" customWidth="1"/>
    <col min="4105" max="4105" width="22.28515625" style="162" customWidth="1"/>
    <col min="4106" max="4107" width="17.140625" style="162" customWidth="1"/>
    <col min="4108" max="4109" width="3.42578125" style="162" customWidth="1"/>
    <col min="4110" max="4116" width="17.140625" style="162" customWidth="1"/>
    <col min="4117" max="4117" width="22.28515625" style="162" customWidth="1"/>
    <col min="4118" max="4119" width="17.140625" style="162" customWidth="1"/>
    <col min="4120" max="4120" width="20.5703125" style="162" customWidth="1"/>
    <col min="4121" max="4121" width="32.28515625" style="162" customWidth="1"/>
    <col min="4122" max="4122" width="0.28515625" style="162" customWidth="1"/>
    <col min="4123" max="4352" width="9.140625" style="162"/>
    <col min="4353" max="4353" width="13.7109375" style="162" customWidth="1"/>
    <col min="4354" max="4354" width="10.28515625" style="162" customWidth="1"/>
    <col min="4355" max="4355" width="18.85546875" style="162" customWidth="1"/>
    <col min="4356" max="4356" width="25.7109375" style="162" customWidth="1"/>
    <col min="4357" max="4358" width="22.28515625" style="162" customWidth="1"/>
    <col min="4359" max="4359" width="15.42578125" style="162" customWidth="1"/>
    <col min="4360" max="4360" width="18.85546875" style="162" customWidth="1"/>
    <col min="4361" max="4361" width="22.28515625" style="162" customWidth="1"/>
    <col min="4362" max="4363" width="17.140625" style="162" customWidth="1"/>
    <col min="4364" max="4365" width="3.42578125" style="162" customWidth="1"/>
    <col min="4366" max="4372" width="17.140625" style="162" customWidth="1"/>
    <col min="4373" max="4373" width="22.28515625" style="162" customWidth="1"/>
    <col min="4374" max="4375" width="17.140625" style="162" customWidth="1"/>
    <col min="4376" max="4376" width="20.5703125" style="162" customWidth="1"/>
    <col min="4377" max="4377" width="32.28515625" style="162" customWidth="1"/>
    <col min="4378" max="4378" width="0.28515625" style="162" customWidth="1"/>
    <col min="4379" max="4608" width="9.140625" style="162"/>
    <col min="4609" max="4609" width="13.7109375" style="162" customWidth="1"/>
    <col min="4610" max="4610" width="10.28515625" style="162" customWidth="1"/>
    <col min="4611" max="4611" width="18.85546875" style="162" customWidth="1"/>
    <col min="4612" max="4612" width="25.7109375" style="162" customWidth="1"/>
    <col min="4613" max="4614" width="22.28515625" style="162" customWidth="1"/>
    <col min="4615" max="4615" width="15.42578125" style="162" customWidth="1"/>
    <col min="4616" max="4616" width="18.85546875" style="162" customWidth="1"/>
    <col min="4617" max="4617" width="22.28515625" style="162" customWidth="1"/>
    <col min="4618" max="4619" width="17.140625" style="162" customWidth="1"/>
    <col min="4620" max="4621" width="3.42578125" style="162" customWidth="1"/>
    <col min="4622" max="4628" width="17.140625" style="162" customWidth="1"/>
    <col min="4629" max="4629" width="22.28515625" style="162" customWidth="1"/>
    <col min="4630" max="4631" width="17.140625" style="162" customWidth="1"/>
    <col min="4632" max="4632" width="20.5703125" style="162" customWidth="1"/>
    <col min="4633" max="4633" width="32.28515625" style="162" customWidth="1"/>
    <col min="4634" max="4634" width="0.28515625" style="162" customWidth="1"/>
    <col min="4635" max="4864" width="9.140625" style="162"/>
    <col min="4865" max="4865" width="13.7109375" style="162" customWidth="1"/>
    <col min="4866" max="4866" width="10.28515625" style="162" customWidth="1"/>
    <col min="4867" max="4867" width="18.85546875" style="162" customWidth="1"/>
    <col min="4868" max="4868" width="25.7109375" style="162" customWidth="1"/>
    <col min="4869" max="4870" width="22.28515625" style="162" customWidth="1"/>
    <col min="4871" max="4871" width="15.42578125" style="162" customWidth="1"/>
    <col min="4872" max="4872" width="18.85546875" style="162" customWidth="1"/>
    <col min="4873" max="4873" width="22.28515625" style="162" customWidth="1"/>
    <col min="4874" max="4875" width="17.140625" style="162" customWidth="1"/>
    <col min="4876" max="4877" width="3.42578125" style="162" customWidth="1"/>
    <col min="4878" max="4884" width="17.140625" style="162" customWidth="1"/>
    <col min="4885" max="4885" width="22.28515625" style="162" customWidth="1"/>
    <col min="4886" max="4887" width="17.140625" style="162" customWidth="1"/>
    <col min="4888" max="4888" width="20.5703125" style="162" customWidth="1"/>
    <col min="4889" max="4889" width="32.28515625" style="162" customWidth="1"/>
    <col min="4890" max="4890" width="0.28515625" style="162" customWidth="1"/>
    <col min="4891" max="5120" width="9.140625" style="162"/>
    <col min="5121" max="5121" width="13.7109375" style="162" customWidth="1"/>
    <col min="5122" max="5122" width="10.28515625" style="162" customWidth="1"/>
    <col min="5123" max="5123" width="18.85546875" style="162" customWidth="1"/>
    <col min="5124" max="5124" width="25.7109375" style="162" customWidth="1"/>
    <col min="5125" max="5126" width="22.28515625" style="162" customWidth="1"/>
    <col min="5127" max="5127" width="15.42578125" style="162" customWidth="1"/>
    <col min="5128" max="5128" width="18.85546875" style="162" customWidth="1"/>
    <col min="5129" max="5129" width="22.28515625" style="162" customWidth="1"/>
    <col min="5130" max="5131" width="17.140625" style="162" customWidth="1"/>
    <col min="5132" max="5133" width="3.42578125" style="162" customWidth="1"/>
    <col min="5134" max="5140" width="17.140625" style="162" customWidth="1"/>
    <col min="5141" max="5141" width="22.28515625" style="162" customWidth="1"/>
    <col min="5142" max="5143" width="17.140625" style="162" customWidth="1"/>
    <col min="5144" max="5144" width="20.5703125" style="162" customWidth="1"/>
    <col min="5145" max="5145" width="32.28515625" style="162" customWidth="1"/>
    <col min="5146" max="5146" width="0.28515625" style="162" customWidth="1"/>
    <col min="5147" max="5376" width="9.140625" style="162"/>
    <col min="5377" max="5377" width="13.7109375" style="162" customWidth="1"/>
    <col min="5378" max="5378" width="10.28515625" style="162" customWidth="1"/>
    <col min="5379" max="5379" width="18.85546875" style="162" customWidth="1"/>
    <col min="5380" max="5380" width="25.7109375" style="162" customWidth="1"/>
    <col min="5381" max="5382" width="22.28515625" style="162" customWidth="1"/>
    <col min="5383" max="5383" width="15.42578125" style="162" customWidth="1"/>
    <col min="5384" max="5384" width="18.85546875" style="162" customWidth="1"/>
    <col min="5385" max="5385" width="22.28515625" style="162" customWidth="1"/>
    <col min="5386" max="5387" width="17.140625" style="162" customWidth="1"/>
    <col min="5388" max="5389" width="3.42578125" style="162" customWidth="1"/>
    <col min="5390" max="5396" width="17.140625" style="162" customWidth="1"/>
    <col min="5397" max="5397" width="22.28515625" style="162" customWidth="1"/>
    <col min="5398" max="5399" width="17.140625" style="162" customWidth="1"/>
    <col min="5400" max="5400" width="20.5703125" style="162" customWidth="1"/>
    <col min="5401" max="5401" width="32.28515625" style="162" customWidth="1"/>
    <col min="5402" max="5402" width="0.28515625" style="162" customWidth="1"/>
    <col min="5403" max="5632" width="9.140625" style="162"/>
    <col min="5633" max="5633" width="13.7109375" style="162" customWidth="1"/>
    <col min="5634" max="5634" width="10.28515625" style="162" customWidth="1"/>
    <col min="5635" max="5635" width="18.85546875" style="162" customWidth="1"/>
    <col min="5636" max="5636" width="25.7109375" style="162" customWidth="1"/>
    <col min="5637" max="5638" width="22.28515625" style="162" customWidth="1"/>
    <col min="5639" max="5639" width="15.42578125" style="162" customWidth="1"/>
    <col min="5640" max="5640" width="18.85546875" style="162" customWidth="1"/>
    <col min="5641" max="5641" width="22.28515625" style="162" customWidth="1"/>
    <col min="5642" max="5643" width="17.140625" style="162" customWidth="1"/>
    <col min="5644" max="5645" width="3.42578125" style="162" customWidth="1"/>
    <col min="5646" max="5652" width="17.140625" style="162" customWidth="1"/>
    <col min="5653" max="5653" width="22.28515625" style="162" customWidth="1"/>
    <col min="5654" max="5655" width="17.140625" style="162" customWidth="1"/>
    <col min="5656" max="5656" width="20.5703125" style="162" customWidth="1"/>
    <col min="5657" max="5657" width="32.28515625" style="162" customWidth="1"/>
    <col min="5658" max="5658" width="0.28515625" style="162" customWidth="1"/>
    <col min="5659" max="5888" width="9.140625" style="162"/>
    <col min="5889" max="5889" width="13.7109375" style="162" customWidth="1"/>
    <col min="5890" max="5890" width="10.28515625" style="162" customWidth="1"/>
    <col min="5891" max="5891" width="18.85546875" style="162" customWidth="1"/>
    <col min="5892" max="5892" width="25.7109375" style="162" customWidth="1"/>
    <col min="5893" max="5894" width="22.28515625" style="162" customWidth="1"/>
    <col min="5895" max="5895" width="15.42578125" style="162" customWidth="1"/>
    <col min="5896" max="5896" width="18.85546875" style="162" customWidth="1"/>
    <col min="5897" max="5897" width="22.28515625" style="162" customWidth="1"/>
    <col min="5898" max="5899" width="17.140625" style="162" customWidth="1"/>
    <col min="5900" max="5901" width="3.42578125" style="162" customWidth="1"/>
    <col min="5902" max="5908" width="17.140625" style="162" customWidth="1"/>
    <col min="5909" max="5909" width="22.28515625" style="162" customWidth="1"/>
    <col min="5910" max="5911" width="17.140625" style="162" customWidth="1"/>
    <col min="5912" max="5912" width="20.5703125" style="162" customWidth="1"/>
    <col min="5913" max="5913" width="32.28515625" style="162" customWidth="1"/>
    <col min="5914" max="5914" width="0.28515625" style="162" customWidth="1"/>
    <col min="5915" max="6144" width="9.140625" style="162"/>
    <col min="6145" max="6145" width="13.7109375" style="162" customWidth="1"/>
    <col min="6146" max="6146" width="10.28515625" style="162" customWidth="1"/>
    <col min="6147" max="6147" width="18.85546875" style="162" customWidth="1"/>
    <col min="6148" max="6148" width="25.7109375" style="162" customWidth="1"/>
    <col min="6149" max="6150" width="22.28515625" style="162" customWidth="1"/>
    <col min="6151" max="6151" width="15.42578125" style="162" customWidth="1"/>
    <col min="6152" max="6152" width="18.85546875" style="162" customWidth="1"/>
    <col min="6153" max="6153" width="22.28515625" style="162" customWidth="1"/>
    <col min="6154" max="6155" width="17.140625" style="162" customWidth="1"/>
    <col min="6156" max="6157" width="3.42578125" style="162" customWidth="1"/>
    <col min="6158" max="6164" width="17.140625" style="162" customWidth="1"/>
    <col min="6165" max="6165" width="22.28515625" style="162" customWidth="1"/>
    <col min="6166" max="6167" width="17.140625" style="162" customWidth="1"/>
    <col min="6168" max="6168" width="20.5703125" style="162" customWidth="1"/>
    <col min="6169" max="6169" width="32.28515625" style="162" customWidth="1"/>
    <col min="6170" max="6170" width="0.28515625" style="162" customWidth="1"/>
    <col min="6171" max="6400" width="9.140625" style="162"/>
    <col min="6401" max="6401" width="13.7109375" style="162" customWidth="1"/>
    <col min="6402" max="6402" width="10.28515625" style="162" customWidth="1"/>
    <col min="6403" max="6403" width="18.85546875" style="162" customWidth="1"/>
    <col min="6404" max="6404" width="25.7109375" style="162" customWidth="1"/>
    <col min="6405" max="6406" width="22.28515625" style="162" customWidth="1"/>
    <col min="6407" max="6407" width="15.42578125" style="162" customWidth="1"/>
    <col min="6408" max="6408" width="18.85546875" style="162" customWidth="1"/>
    <col min="6409" max="6409" width="22.28515625" style="162" customWidth="1"/>
    <col min="6410" max="6411" width="17.140625" style="162" customWidth="1"/>
    <col min="6412" max="6413" width="3.42578125" style="162" customWidth="1"/>
    <col min="6414" max="6420" width="17.140625" style="162" customWidth="1"/>
    <col min="6421" max="6421" width="22.28515625" style="162" customWidth="1"/>
    <col min="6422" max="6423" width="17.140625" style="162" customWidth="1"/>
    <col min="6424" max="6424" width="20.5703125" style="162" customWidth="1"/>
    <col min="6425" max="6425" width="32.28515625" style="162" customWidth="1"/>
    <col min="6426" max="6426" width="0.28515625" style="162" customWidth="1"/>
    <col min="6427" max="6656" width="9.140625" style="162"/>
    <col min="6657" max="6657" width="13.7109375" style="162" customWidth="1"/>
    <col min="6658" max="6658" width="10.28515625" style="162" customWidth="1"/>
    <col min="6659" max="6659" width="18.85546875" style="162" customWidth="1"/>
    <col min="6660" max="6660" width="25.7109375" style="162" customWidth="1"/>
    <col min="6661" max="6662" width="22.28515625" style="162" customWidth="1"/>
    <col min="6663" max="6663" width="15.42578125" style="162" customWidth="1"/>
    <col min="6664" max="6664" width="18.85546875" style="162" customWidth="1"/>
    <col min="6665" max="6665" width="22.28515625" style="162" customWidth="1"/>
    <col min="6666" max="6667" width="17.140625" style="162" customWidth="1"/>
    <col min="6668" max="6669" width="3.42578125" style="162" customWidth="1"/>
    <col min="6670" max="6676" width="17.140625" style="162" customWidth="1"/>
    <col min="6677" max="6677" width="22.28515625" style="162" customWidth="1"/>
    <col min="6678" max="6679" width="17.140625" style="162" customWidth="1"/>
    <col min="6680" max="6680" width="20.5703125" style="162" customWidth="1"/>
    <col min="6681" max="6681" width="32.28515625" style="162" customWidth="1"/>
    <col min="6682" max="6682" width="0.28515625" style="162" customWidth="1"/>
    <col min="6683" max="6912" width="9.140625" style="162"/>
    <col min="6913" max="6913" width="13.7109375" style="162" customWidth="1"/>
    <col min="6914" max="6914" width="10.28515625" style="162" customWidth="1"/>
    <col min="6915" max="6915" width="18.85546875" style="162" customWidth="1"/>
    <col min="6916" max="6916" width="25.7109375" style="162" customWidth="1"/>
    <col min="6917" max="6918" width="22.28515625" style="162" customWidth="1"/>
    <col min="6919" max="6919" width="15.42578125" style="162" customWidth="1"/>
    <col min="6920" max="6920" width="18.85546875" style="162" customWidth="1"/>
    <col min="6921" max="6921" width="22.28515625" style="162" customWidth="1"/>
    <col min="6922" max="6923" width="17.140625" style="162" customWidth="1"/>
    <col min="6924" max="6925" width="3.42578125" style="162" customWidth="1"/>
    <col min="6926" max="6932" width="17.140625" style="162" customWidth="1"/>
    <col min="6933" max="6933" width="22.28515625" style="162" customWidth="1"/>
    <col min="6934" max="6935" width="17.140625" style="162" customWidth="1"/>
    <col min="6936" max="6936" width="20.5703125" style="162" customWidth="1"/>
    <col min="6937" max="6937" width="32.28515625" style="162" customWidth="1"/>
    <col min="6938" max="6938" width="0.28515625" style="162" customWidth="1"/>
    <col min="6939" max="7168" width="9.140625" style="162"/>
    <col min="7169" max="7169" width="13.7109375" style="162" customWidth="1"/>
    <col min="7170" max="7170" width="10.28515625" style="162" customWidth="1"/>
    <col min="7171" max="7171" width="18.85546875" style="162" customWidth="1"/>
    <col min="7172" max="7172" width="25.7109375" style="162" customWidth="1"/>
    <col min="7173" max="7174" width="22.28515625" style="162" customWidth="1"/>
    <col min="7175" max="7175" width="15.42578125" style="162" customWidth="1"/>
    <col min="7176" max="7176" width="18.85546875" style="162" customWidth="1"/>
    <col min="7177" max="7177" width="22.28515625" style="162" customWidth="1"/>
    <col min="7178" max="7179" width="17.140625" style="162" customWidth="1"/>
    <col min="7180" max="7181" width="3.42578125" style="162" customWidth="1"/>
    <col min="7182" max="7188" width="17.140625" style="162" customWidth="1"/>
    <col min="7189" max="7189" width="22.28515625" style="162" customWidth="1"/>
    <col min="7190" max="7191" width="17.140625" style="162" customWidth="1"/>
    <col min="7192" max="7192" width="20.5703125" style="162" customWidth="1"/>
    <col min="7193" max="7193" width="32.28515625" style="162" customWidth="1"/>
    <col min="7194" max="7194" width="0.28515625" style="162" customWidth="1"/>
    <col min="7195" max="7424" width="9.140625" style="162"/>
    <col min="7425" max="7425" width="13.7109375" style="162" customWidth="1"/>
    <col min="7426" max="7426" width="10.28515625" style="162" customWidth="1"/>
    <col min="7427" max="7427" width="18.85546875" style="162" customWidth="1"/>
    <col min="7428" max="7428" width="25.7109375" style="162" customWidth="1"/>
    <col min="7429" max="7430" width="22.28515625" style="162" customWidth="1"/>
    <col min="7431" max="7431" width="15.42578125" style="162" customWidth="1"/>
    <col min="7432" max="7432" width="18.85546875" style="162" customWidth="1"/>
    <col min="7433" max="7433" width="22.28515625" style="162" customWidth="1"/>
    <col min="7434" max="7435" width="17.140625" style="162" customWidth="1"/>
    <col min="7436" max="7437" width="3.42578125" style="162" customWidth="1"/>
    <col min="7438" max="7444" width="17.140625" style="162" customWidth="1"/>
    <col min="7445" max="7445" width="22.28515625" style="162" customWidth="1"/>
    <col min="7446" max="7447" width="17.140625" style="162" customWidth="1"/>
    <col min="7448" max="7448" width="20.5703125" style="162" customWidth="1"/>
    <col min="7449" max="7449" width="32.28515625" style="162" customWidth="1"/>
    <col min="7450" max="7450" width="0.28515625" style="162" customWidth="1"/>
    <col min="7451" max="7680" width="9.140625" style="162"/>
    <col min="7681" max="7681" width="13.7109375" style="162" customWidth="1"/>
    <col min="7682" max="7682" width="10.28515625" style="162" customWidth="1"/>
    <col min="7683" max="7683" width="18.85546875" style="162" customWidth="1"/>
    <col min="7684" max="7684" width="25.7109375" style="162" customWidth="1"/>
    <col min="7685" max="7686" width="22.28515625" style="162" customWidth="1"/>
    <col min="7687" max="7687" width="15.42578125" style="162" customWidth="1"/>
    <col min="7688" max="7688" width="18.85546875" style="162" customWidth="1"/>
    <col min="7689" max="7689" width="22.28515625" style="162" customWidth="1"/>
    <col min="7690" max="7691" width="17.140625" style="162" customWidth="1"/>
    <col min="7692" max="7693" width="3.42578125" style="162" customWidth="1"/>
    <col min="7694" max="7700" width="17.140625" style="162" customWidth="1"/>
    <col min="7701" max="7701" width="22.28515625" style="162" customWidth="1"/>
    <col min="7702" max="7703" width="17.140625" style="162" customWidth="1"/>
    <col min="7704" max="7704" width="20.5703125" style="162" customWidth="1"/>
    <col min="7705" max="7705" width="32.28515625" style="162" customWidth="1"/>
    <col min="7706" max="7706" width="0.28515625" style="162" customWidth="1"/>
    <col min="7707" max="7936" width="9.140625" style="162"/>
    <col min="7937" max="7937" width="13.7109375" style="162" customWidth="1"/>
    <col min="7938" max="7938" width="10.28515625" style="162" customWidth="1"/>
    <col min="7939" max="7939" width="18.85546875" style="162" customWidth="1"/>
    <col min="7940" max="7940" width="25.7109375" style="162" customWidth="1"/>
    <col min="7941" max="7942" width="22.28515625" style="162" customWidth="1"/>
    <col min="7943" max="7943" width="15.42578125" style="162" customWidth="1"/>
    <col min="7944" max="7944" width="18.85546875" style="162" customWidth="1"/>
    <col min="7945" max="7945" width="22.28515625" style="162" customWidth="1"/>
    <col min="7946" max="7947" width="17.140625" style="162" customWidth="1"/>
    <col min="7948" max="7949" width="3.42578125" style="162" customWidth="1"/>
    <col min="7950" max="7956" width="17.140625" style="162" customWidth="1"/>
    <col min="7957" max="7957" width="22.28515625" style="162" customWidth="1"/>
    <col min="7958" max="7959" width="17.140625" style="162" customWidth="1"/>
    <col min="7960" max="7960" width="20.5703125" style="162" customWidth="1"/>
    <col min="7961" max="7961" width="32.28515625" style="162" customWidth="1"/>
    <col min="7962" max="7962" width="0.28515625" style="162" customWidth="1"/>
    <col min="7963" max="8192" width="9.140625" style="162"/>
    <col min="8193" max="8193" width="13.7109375" style="162" customWidth="1"/>
    <col min="8194" max="8194" width="10.28515625" style="162" customWidth="1"/>
    <col min="8195" max="8195" width="18.85546875" style="162" customWidth="1"/>
    <col min="8196" max="8196" width="25.7109375" style="162" customWidth="1"/>
    <col min="8197" max="8198" width="22.28515625" style="162" customWidth="1"/>
    <col min="8199" max="8199" width="15.42578125" style="162" customWidth="1"/>
    <col min="8200" max="8200" width="18.85546875" style="162" customWidth="1"/>
    <col min="8201" max="8201" width="22.28515625" style="162" customWidth="1"/>
    <col min="8202" max="8203" width="17.140625" style="162" customWidth="1"/>
    <col min="8204" max="8205" width="3.42578125" style="162" customWidth="1"/>
    <col min="8206" max="8212" width="17.140625" style="162" customWidth="1"/>
    <col min="8213" max="8213" width="22.28515625" style="162" customWidth="1"/>
    <col min="8214" max="8215" width="17.140625" style="162" customWidth="1"/>
    <col min="8216" max="8216" width="20.5703125" style="162" customWidth="1"/>
    <col min="8217" max="8217" width="32.28515625" style="162" customWidth="1"/>
    <col min="8218" max="8218" width="0.28515625" style="162" customWidth="1"/>
    <col min="8219" max="8448" width="9.140625" style="162"/>
    <col min="8449" max="8449" width="13.7109375" style="162" customWidth="1"/>
    <col min="8450" max="8450" width="10.28515625" style="162" customWidth="1"/>
    <col min="8451" max="8451" width="18.85546875" style="162" customWidth="1"/>
    <col min="8452" max="8452" width="25.7109375" style="162" customWidth="1"/>
    <col min="8453" max="8454" width="22.28515625" style="162" customWidth="1"/>
    <col min="8455" max="8455" width="15.42578125" style="162" customWidth="1"/>
    <col min="8456" max="8456" width="18.85546875" style="162" customWidth="1"/>
    <col min="8457" max="8457" width="22.28515625" style="162" customWidth="1"/>
    <col min="8458" max="8459" width="17.140625" style="162" customWidth="1"/>
    <col min="8460" max="8461" width="3.42578125" style="162" customWidth="1"/>
    <col min="8462" max="8468" width="17.140625" style="162" customWidth="1"/>
    <col min="8469" max="8469" width="22.28515625" style="162" customWidth="1"/>
    <col min="8470" max="8471" width="17.140625" style="162" customWidth="1"/>
    <col min="8472" max="8472" width="20.5703125" style="162" customWidth="1"/>
    <col min="8473" max="8473" width="32.28515625" style="162" customWidth="1"/>
    <col min="8474" max="8474" width="0.28515625" style="162" customWidth="1"/>
    <col min="8475" max="8704" width="9.140625" style="162"/>
    <col min="8705" max="8705" width="13.7109375" style="162" customWidth="1"/>
    <col min="8706" max="8706" width="10.28515625" style="162" customWidth="1"/>
    <col min="8707" max="8707" width="18.85546875" style="162" customWidth="1"/>
    <col min="8708" max="8708" width="25.7109375" style="162" customWidth="1"/>
    <col min="8709" max="8710" width="22.28515625" style="162" customWidth="1"/>
    <col min="8711" max="8711" width="15.42578125" style="162" customWidth="1"/>
    <col min="8712" max="8712" width="18.85546875" style="162" customWidth="1"/>
    <col min="8713" max="8713" width="22.28515625" style="162" customWidth="1"/>
    <col min="8714" max="8715" width="17.140625" style="162" customWidth="1"/>
    <col min="8716" max="8717" width="3.42578125" style="162" customWidth="1"/>
    <col min="8718" max="8724" width="17.140625" style="162" customWidth="1"/>
    <col min="8725" max="8725" width="22.28515625" style="162" customWidth="1"/>
    <col min="8726" max="8727" width="17.140625" style="162" customWidth="1"/>
    <col min="8728" max="8728" width="20.5703125" style="162" customWidth="1"/>
    <col min="8729" max="8729" width="32.28515625" style="162" customWidth="1"/>
    <col min="8730" max="8730" width="0.28515625" style="162" customWidth="1"/>
    <col min="8731" max="8960" width="9.140625" style="162"/>
    <col min="8961" max="8961" width="13.7109375" style="162" customWidth="1"/>
    <col min="8962" max="8962" width="10.28515625" style="162" customWidth="1"/>
    <col min="8963" max="8963" width="18.85546875" style="162" customWidth="1"/>
    <col min="8964" max="8964" width="25.7109375" style="162" customWidth="1"/>
    <col min="8965" max="8966" width="22.28515625" style="162" customWidth="1"/>
    <col min="8967" max="8967" width="15.42578125" style="162" customWidth="1"/>
    <col min="8968" max="8968" width="18.85546875" style="162" customWidth="1"/>
    <col min="8969" max="8969" width="22.28515625" style="162" customWidth="1"/>
    <col min="8970" max="8971" width="17.140625" style="162" customWidth="1"/>
    <col min="8972" max="8973" width="3.42578125" style="162" customWidth="1"/>
    <col min="8974" max="8980" width="17.140625" style="162" customWidth="1"/>
    <col min="8981" max="8981" width="22.28515625" style="162" customWidth="1"/>
    <col min="8982" max="8983" width="17.140625" style="162" customWidth="1"/>
    <col min="8984" max="8984" width="20.5703125" style="162" customWidth="1"/>
    <col min="8985" max="8985" width="32.28515625" style="162" customWidth="1"/>
    <col min="8986" max="8986" width="0.28515625" style="162" customWidth="1"/>
    <col min="8987" max="9216" width="9.140625" style="162"/>
    <col min="9217" max="9217" width="13.7109375" style="162" customWidth="1"/>
    <col min="9218" max="9218" width="10.28515625" style="162" customWidth="1"/>
    <col min="9219" max="9219" width="18.85546875" style="162" customWidth="1"/>
    <col min="9220" max="9220" width="25.7109375" style="162" customWidth="1"/>
    <col min="9221" max="9222" width="22.28515625" style="162" customWidth="1"/>
    <col min="9223" max="9223" width="15.42578125" style="162" customWidth="1"/>
    <col min="9224" max="9224" width="18.85546875" style="162" customWidth="1"/>
    <col min="9225" max="9225" width="22.28515625" style="162" customWidth="1"/>
    <col min="9226" max="9227" width="17.140625" style="162" customWidth="1"/>
    <col min="9228" max="9229" width="3.42578125" style="162" customWidth="1"/>
    <col min="9230" max="9236" width="17.140625" style="162" customWidth="1"/>
    <col min="9237" max="9237" width="22.28515625" style="162" customWidth="1"/>
    <col min="9238" max="9239" width="17.140625" style="162" customWidth="1"/>
    <col min="9240" max="9240" width="20.5703125" style="162" customWidth="1"/>
    <col min="9241" max="9241" width="32.28515625" style="162" customWidth="1"/>
    <col min="9242" max="9242" width="0.28515625" style="162" customWidth="1"/>
    <col min="9243" max="9472" width="9.140625" style="162"/>
    <col min="9473" max="9473" width="13.7109375" style="162" customWidth="1"/>
    <col min="9474" max="9474" width="10.28515625" style="162" customWidth="1"/>
    <col min="9475" max="9475" width="18.85546875" style="162" customWidth="1"/>
    <col min="9476" max="9476" width="25.7109375" style="162" customWidth="1"/>
    <col min="9477" max="9478" width="22.28515625" style="162" customWidth="1"/>
    <col min="9479" max="9479" width="15.42578125" style="162" customWidth="1"/>
    <col min="9480" max="9480" width="18.85546875" style="162" customWidth="1"/>
    <col min="9481" max="9481" width="22.28515625" style="162" customWidth="1"/>
    <col min="9482" max="9483" width="17.140625" style="162" customWidth="1"/>
    <col min="9484" max="9485" width="3.42578125" style="162" customWidth="1"/>
    <col min="9486" max="9492" width="17.140625" style="162" customWidth="1"/>
    <col min="9493" max="9493" width="22.28515625" style="162" customWidth="1"/>
    <col min="9494" max="9495" width="17.140625" style="162" customWidth="1"/>
    <col min="9496" max="9496" width="20.5703125" style="162" customWidth="1"/>
    <col min="9497" max="9497" width="32.28515625" style="162" customWidth="1"/>
    <col min="9498" max="9498" width="0.28515625" style="162" customWidth="1"/>
    <col min="9499" max="9728" width="9.140625" style="162"/>
    <col min="9729" max="9729" width="13.7109375" style="162" customWidth="1"/>
    <col min="9730" max="9730" width="10.28515625" style="162" customWidth="1"/>
    <col min="9731" max="9731" width="18.85546875" style="162" customWidth="1"/>
    <col min="9732" max="9732" width="25.7109375" style="162" customWidth="1"/>
    <col min="9733" max="9734" width="22.28515625" style="162" customWidth="1"/>
    <col min="9735" max="9735" width="15.42578125" style="162" customWidth="1"/>
    <col min="9736" max="9736" width="18.85546875" style="162" customWidth="1"/>
    <col min="9737" max="9737" width="22.28515625" style="162" customWidth="1"/>
    <col min="9738" max="9739" width="17.140625" style="162" customWidth="1"/>
    <col min="9740" max="9741" width="3.42578125" style="162" customWidth="1"/>
    <col min="9742" max="9748" width="17.140625" style="162" customWidth="1"/>
    <col min="9749" max="9749" width="22.28515625" style="162" customWidth="1"/>
    <col min="9750" max="9751" width="17.140625" style="162" customWidth="1"/>
    <col min="9752" max="9752" width="20.5703125" style="162" customWidth="1"/>
    <col min="9753" max="9753" width="32.28515625" style="162" customWidth="1"/>
    <col min="9754" max="9754" width="0.28515625" style="162" customWidth="1"/>
    <col min="9755" max="9984" width="9.140625" style="162"/>
    <col min="9985" max="9985" width="13.7109375" style="162" customWidth="1"/>
    <col min="9986" max="9986" width="10.28515625" style="162" customWidth="1"/>
    <col min="9987" max="9987" width="18.85546875" style="162" customWidth="1"/>
    <col min="9988" max="9988" width="25.7109375" style="162" customWidth="1"/>
    <col min="9989" max="9990" width="22.28515625" style="162" customWidth="1"/>
    <col min="9991" max="9991" width="15.42578125" style="162" customWidth="1"/>
    <col min="9992" max="9992" width="18.85546875" style="162" customWidth="1"/>
    <col min="9993" max="9993" width="22.28515625" style="162" customWidth="1"/>
    <col min="9994" max="9995" width="17.140625" style="162" customWidth="1"/>
    <col min="9996" max="9997" width="3.42578125" style="162" customWidth="1"/>
    <col min="9998" max="10004" width="17.140625" style="162" customWidth="1"/>
    <col min="10005" max="10005" width="22.28515625" style="162" customWidth="1"/>
    <col min="10006" max="10007" width="17.140625" style="162" customWidth="1"/>
    <col min="10008" max="10008" width="20.5703125" style="162" customWidth="1"/>
    <col min="10009" max="10009" width="32.28515625" style="162" customWidth="1"/>
    <col min="10010" max="10010" width="0.28515625" style="162" customWidth="1"/>
    <col min="10011" max="10240" width="9.140625" style="162"/>
    <col min="10241" max="10241" width="13.7109375" style="162" customWidth="1"/>
    <col min="10242" max="10242" width="10.28515625" style="162" customWidth="1"/>
    <col min="10243" max="10243" width="18.85546875" style="162" customWidth="1"/>
    <col min="10244" max="10244" width="25.7109375" style="162" customWidth="1"/>
    <col min="10245" max="10246" width="22.28515625" style="162" customWidth="1"/>
    <col min="10247" max="10247" width="15.42578125" style="162" customWidth="1"/>
    <col min="10248" max="10248" width="18.85546875" style="162" customWidth="1"/>
    <col min="10249" max="10249" width="22.28515625" style="162" customWidth="1"/>
    <col min="10250" max="10251" width="17.140625" style="162" customWidth="1"/>
    <col min="10252" max="10253" width="3.42578125" style="162" customWidth="1"/>
    <col min="10254" max="10260" width="17.140625" style="162" customWidth="1"/>
    <col min="10261" max="10261" width="22.28515625" style="162" customWidth="1"/>
    <col min="10262" max="10263" width="17.140625" style="162" customWidth="1"/>
    <col min="10264" max="10264" width="20.5703125" style="162" customWidth="1"/>
    <col min="10265" max="10265" width="32.28515625" style="162" customWidth="1"/>
    <col min="10266" max="10266" width="0.28515625" style="162" customWidth="1"/>
    <col min="10267" max="10496" width="9.140625" style="162"/>
    <col min="10497" max="10497" width="13.7109375" style="162" customWidth="1"/>
    <col min="10498" max="10498" width="10.28515625" style="162" customWidth="1"/>
    <col min="10499" max="10499" width="18.85546875" style="162" customWidth="1"/>
    <col min="10500" max="10500" width="25.7109375" style="162" customWidth="1"/>
    <col min="10501" max="10502" width="22.28515625" style="162" customWidth="1"/>
    <col min="10503" max="10503" width="15.42578125" style="162" customWidth="1"/>
    <col min="10504" max="10504" width="18.85546875" style="162" customWidth="1"/>
    <col min="10505" max="10505" width="22.28515625" style="162" customWidth="1"/>
    <col min="10506" max="10507" width="17.140625" style="162" customWidth="1"/>
    <col min="10508" max="10509" width="3.42578125" style="162" customWidth="1"/>
    <col min="10510" max="10516" width="17.140625" style="162" customWidth="1"/>
    <col min="10517" max="10517" width="22.28515625" style="162" customWidth="1"/>
    <col min="10518" max="10519" width="17.140625" style="162" customWidth="1"/>
    <col min="10520" max="10520" width="20.5703125" style="162" customWidth="1"/>
    <col min="10521" max="10521" width="32.28515625" style="162" customWidth="1"/>
    <col min="10522" max="10522" width="0.28515625" style="162" customWidth="1"/>
    <col min="10523" max="10752" width="9.140625" style="162"/>
    <col min="10753" max="10753" width="13.7109375" style="162" customWidth="1"/>
    <col min="10754" max="10754" width="10.28515625" style="162" customWidth="1"/>
    <col min="10755" max="10755" width="18.85546875" style="162" customWidth="1"/>
    <col min="10756" max="10756" width="25.7109375" style="162" customWidth="1"/>
    <col min="10757" max="10758" width="22.28515625" style="162" customWidth="1"/>
    <col min="10759" max="10759" width="15.42578125" style="162" customWidth="1"/>
    <col min="10760" max="10760" width="18.85546875" style="162" customWidth="1"/>
    <col min="10761" max="10761" width="22.28515625" style="162" customWidth="1"/>
    <col min="10762" max="10763" width="17.140625" style="162" customWidth="1"/>
    <col min="10764" max="10765" width="3.42578125" style="162" customWidth="1"/>
    <col min="10766" max="10772" width="17.140625" style="162" customWidth="1"/>
    <col min="10773" max="10773" width="22.28515625" style="162" customWidth="1"/>
    <col min="10774" max="10775" width="17.140625" style="162" customWidth="1"/>
    <col min="10776" max="10776" width="20.5703125" style="162" customWidth="1"/>
    <col min="10777" max="10777" width="32.28515625" style="162" customWidth="1"/>
    <col min="10778" max="10778" width="0.28515625" style="162" customWidth="1"/>
    <col min="10779" max="11008" width="9.140625" style="162"/>
    <col min="11009" max="11009" width="13.7109375" style="162" customWidth="1"/>
    <col min="11010" max="11010" width="10.28515625" style="162" customWidth="1"/>
    <col min="11011" max="11011" width="18.85546875" style="162" customWidth="1"/>
    <col min="11012" max="11012" width="25.7109375" style="162" customWidth="1"/>
    <col min="11013" max="11014" width="22.28515625" style="162" customWidth="1"/>
    <col min="11015" max="11015" width="15.42578125" style="162" customWidth="1"/>
    <col min="11016" max="11016" width="18.85546875" style="162" customWidth="1"/>
    <col min="11017" max="11017" width="22.28515625" style="162" customWidth="1"/>
    <col min="11018" max="11019" width="17.140625" style="162" customWidth="1"/>
    <col min="11020" max="11021" width="3.42578125" style="162" customWidth="1"/>
    <col min="11022" max="11028" width="17.140625" style="162" customWidth="1"/>
    <col min="11029" max="11029" width="22.28515625" style="162" customWidth="1"/>
    <col min="11030" max="11031" width="17.140625" style="162" customWidth="1"/>
    <col min="11032" max="11032" width="20.5703125" style="162" customWidth="1"/>
    <col min="11033" max="11033" width="32.28515625" style="162" customWidth="1"/>
    <col min="11034" max="11034" width="0.28515625" style="162" customWidth="1"/>
    <col min="11035" max="11264" width="9.140625" style="162"/>
    <col min="11265" max="11265" width="13.7109375" style="162" customWidth="1"/>
    <col min="11266" max="11266" width="10.28515625" style="162" customWidth="1"/>
    <col min="11267" max="11267" width="18.85546875" style="162" customWidth="1"/>
    <col min="11268" max="11268" width="25.7109375" style="162" customWidth="1"/>
    <col min="11269" max="11270" width="22.28515625" style="162" customWidth="1"/>
    <col min="11271" max="11271" width="15.42578125" style="162" customWidth="1"/>
    <col min="11272" max="11272" width="18.85546875" style="162" customWidth="1"/>
    <col min="11273" max="11273" width="22.28515625" style="162" customWidth="1"/>
    <col min="11274" max="11275" width="17.140625" style="162" customWidth="1"/>
    <col min="11276" max="11277" width="3.42578125" style="162" customWidth="1"/>
    <col min="11278" max="11284" width="17.140625" style="162" customWidth="1"/>
    <col min="11285" max="11285" width="22.28515625" style="162" customWidth="1"/>
    <col min="11286" max="11287" width="17.140625" style="162" customWidth="1"/>
    <col min="11288" max="11288" width="20.5703125" style="162" customWidth="1"/>
    <col min="11289" max="11289" width="32.28515625" style="162" customWidth="1"/>
    <col min="11290" max="11290" width="0.28515625" style="162" customWidth="1"/>
    <col min="11291" max="11520" width="9.140625" style="162"/>
    <col min="11521" max="11521" width="13.7109375" style="162" customWidth="1"/>
    <col min="11522" max="11522" width="10.28515625" style="162" customWidth="1"/>
    <col min="11523" max="11523" width="18.85546875" style="162" customWidth="1"/>
    <col min="11524" max="11524" width="25.7109375" style="162" customWidth="1"/>
    <col min="11525" max="11526" width="22.28515625" style="162" customWidth="1"/>
    <col min="11527" max="11527" width="15.42578125" style="162" customWidth="1"/>
    <col min="11528" max="11528" width="18.85546875" style="162" customWidth="1"/>
    <col min="11529" max="11529" width="22.28515625" style="162" customWidth="1"/>
    <col min="11530" max="11531" width="17.140625" style="162" customWidth="1"/>
    <col min="11532" max="11533" width="3.42578125" style="162" customWidth="1"/>
    <col min="11534" max="11540" width="17.140625" style="162" customWidth="1"/>
    <col min="11541" max="11541" width="22.28515625" style="162" customWidth="1"/>
    <col min="11542" max="11543" width="17.140625" style="162" customWidth="1"/>
    <col min="11544" max="11544" width="20.5703125" style="162" customWidth="1"/>
    <col min="11545" max="11545" width="32.28515625" style="162" customWidth="1"/>
    <col min="11546" max="11546" width="0.28515625" style="162" customWidth="1"/>
    <col min="11547" max="11776" width="9.140625" style="162"/>
    <col min="11777" max="11777" width="13.7109375" style="162" customWidth="1"/>
    <col min="11778" max="11778" width="10.28515625" style="162" customWidth="1"/>
    <col min="11779" max="11779" width="18.85546875" style="162" customWidth="1"/>
    <col min="11780" max="11780" width="25.7109375" style="162" customWidth="1"/>
    <col min="11781" max="11782" width="22.28515625" style="162" customWidth="1"/>
    <col min="11783" max="11783" width="15.42578125" style="162" customWidth="1"/>
    <col min="11784" max="11784" width="18.85546875" style="162" customWidth="1"/>
    <col min="11785" max="11785" width="22.28515625" style="162" customWidth="1"/>
    <col min="11786" max="11787" width="17.140625" style="162" customWidth="1"/>
    <col min="11788" max="11789" width="3.42578125" style="162" customWidth="1"/>
    <col min="11790" max="11796" width="17.140625" style="162" customWidth="1"/>
    <col min="11797" max="11797" width="22.28515625" style="162" customWidth="1"/>
    <col min="11798" max="11799" width="17.140625" style="162" customWidth="1"/>
    <col min="11800" max="11800" width="20.5703125" style="162" customWidth="1"/>
    <col min="11801" max="11801" width="32.28515625" style="162" customWidth="1"/>
    <col min="11802" max="11802" width="0.28515625" style="162" customWidth="1"/>
    <col min="11803" max="12032" width="9.140625" style="162"/>
    <col min="12033" max="12033" width="13.7109375" style="162" customWidth="1"/>
    <col min="12034" max="12034" width="10.28515625" style="162" customWidth="1"/>
    <col min="12035" max="12035" width="18.85546875" style="162" customWidth="1"/>
    <col min="12036" max="12036" width="25.7109375" style="162" customWidth="1"/>
    <col min="12037" max="12038" width="22.28515625" style="162" customWidth="1"/>
    <col min="12039" max="12039" width="15.42578125" style="162" customWidth="1"/>
    <col min="12040" max="12040" width="18.85546875" style="162" customWidth="1"/>
    <col min="12041" max="12041" width="22.28515625" style="162" customWidth="1"/>
    <col min="12042" max="12043" width="17.140625" style="162" customWidth="1"/>
    <col min="12044" max="12045" width="3.42578125" style="162" customWidth="1"/>
    <col min="12046" max="12052" width="17.140625" style="162" customWidth="1"/>
    <col min="12053" max="12053" width="22.28515625" style="162" customWidth="1"/>
    <col min="12054" max="12055" width="17.140625" style="162" customWidth="1"/>
    <col min="12056" max="12056" width="20.5703125" style="162" customWidth="1"/>
    <col min="12057" max="12057" width="32.28515625" style="162" customWidth="1"/>
    <col min="12058" max="12058" width="0.28515625" style="162" customWidth="1"/>
    <col min="12059" max="12288" width="9.140625" style="162"/>
    <col min="12289" max="12289" width="13.7109375" style="162" customWidth="1"/>
    <col min="12290" max="12290" width="10.28515625" style="162" customWidth="1"/>
    <col min="12291" max="12291" width="18.85546875" style="162" customWidth="1"/>
    <col min="12292" max="12292" width="25.7109375" style="162" customWidth="1"/>
    <col min="12293" max="12294" width="22.28515625" style="162" customWidth="1"/>
    <col min="12295" max="12295" width="15.42578125" style="162" customWidth="1"/>
    <col min="12296" max="12296" width="18.85546875" style="162" customWidth="1"/>
    <col min="12297" max="12297" width="22.28515625" style="162" customWidth="1"/>
    <col min="12298" max="12299" width="17.140625" style="162" customWidth="1"/>
    <col min="12300" max="12301" width="3.42578125" style="162" customWidth="1"/>
    <col min="12302" max="12308" width="17.140625" style="162" customWidth="1"/>
    <col min="12309" max="12309" width="22.28515625" style="162" customWidth="1"/>
    <col min="12310" max="12311" width="17.140625" style="162" customWidth="1"/>
    <col min="12312" max="12312" width="20.5703125" style="162" customWidth="1"/>
    <col min="12313" max="12313" width="32.28515625" style="162" customWidth="1"/>
    <col min="12314" max="12314" width="0.28515625" style="162" customWidth="1"/>
    <col min="12315" max="12544" width="9.140625" style="162"/>
    <col min="12545" max="12545" width="13.7109375" style="162" customWidth="1"/>
    <col min="12546" max="12546" width="10.28515625" style="162" customWidth="1"/>
    <col min="12547" max="12547" width="18.85546875" style="162" customWidth="1"/>
    <col min="12548" max="12548" width="25.7109375" style="162" customWidth="1"/>
    <col min="12549" max="12550" width="22.28515625" style="162" customWidth="1"/>
    <col min="12551" max="12551" width="15.42578125" style="162" customWidth="1"/>
    <col min="12552" max="12552" width="18.85546875" style="162" customWidth="1"/>
    <col min="12553" max="12553" width="22.28515625" style="162" customWidth="1"/>
    <col min="12554" max="12555" width="17.140625" style="162" customWidth="1"/>
    <col min="12556" max="12557" width="3.42578125" style="162" customWidth="1"/>
    <col min="12558" max="12564" width="17.140625" style="162" customWidth="1"/>
    <col min="12565" max="12565" width="22.28515625" style="162" customWidth="1"/>
    <col min="12566" max="12567" width="17.140625" style="162" customWidth="1"/>
    <col min="12568" max="12568" width="20.5703125" style="162" customWidth="1"/>
    <col min="12569" max="12569" width="32.28515625" style="162" customWidth="1"/>
    <col min="12570" max="12570" width="0.28515625" style="162" customWidth="1"/>
    <col min="12571" max="12800" width="9.140625" style="162"/>
    <col min="12801" max="12801" width="13.7109375" style="162" customWidth="1"/>
    <col min="12802" max="12802" width="10.28515625" style="162" customWidth="1"/>
    <col min="12803" max="12803" width="18.85546875" style="162" customWidth="1"/>
    <col min="12804" max="12804" width="25.7109375" style="162" customWidth="1"/>
    <col min="12805" max="12806" width="22.28515625" style="162" customWidth="1"/>
    <col min="12807" max="12807" width="15.42578125" style="162" customWidth="1"/>
    <col min="12808" max="12808" width="18.85546875" style="162" customWidth="1"/>
    <col min="12809" max="12809" width="22.28515625" style="162" customWidth="1"/>
    <col min="12810" max="12811" width="17.140625" style="162" customWidth="1"/>
    <col min="12812" max="12813" width="3.42578125" style="162" customWidth="1"/>
    <col min="12814" max="12820" width="17.140625" style="162" customWidth="1"/>
    <col min="12821" max="12821" width="22.28515625" style="162" customWidth="1"/>
    <col min="12822" max="12823" width="17.140625" style="162" customWidth="1"/>
    <col min="12824" max="12824" width="20.5703125" style="162" customWidth="1"/>
    <col min="12825" max="12825" width="32.28515625" style="162" customWidth="1"/>
    <col min="12826" max="12826" width="0.28515625" style="162" customWidth="1"/>
    <col min="12827" max="13056" width="9.140625" style="162"/>
    <col min="13057" max="13057" width="13.7109375" style="162" customWidth="1"/>
    <col min="13058" max="13058" width="10.28515625" style="162" customWidth="1"/>
    <col min="13059" max="13059" width="18.85546875" style="162" customWidth="1"/>
    <col min="13060" max="13060" width="25.7109375" style="162" customWidth="1"/>
    <col min="13061" max="13062" width="22.28515625" style="162" customWidth="1"/>
    <col min="13063" max="13063" width="15.42578125" style="162" customWidth="1"/>
    <col min="13064" max="13064" width="18.85546875" style="162" customWidth="1"/>
    <col min="13065" max="13065" width="22.28515625" style="162" customWidth="1"/>
    <col min="13066" max="13067" width="17.140625" style="162" customWidth="1"/>
    <col min="13068" max="13069" width="3.42578125" style="162" customWidth="1"/>
    <col min="13070" max="13076" width="17.140625" style="162" customWidth="1"/>
    <col min="13077" max="13077" width="22.28515625" style="162" customWidth="1"/>
    <col min="13078" max="13079" width="17.140625" style="162" customWidth="1"/>
    <col min="13080" max="13080" width="20.5703125" style="162" customWidth="1"/>
    <col min="13081" max="13081" width="32.28515625" style="162" customWidth="1"/>
    <col min="13082" max="13082" width="0.28515625" style="162" customWidth="1"/>
    <col min="13083" max="13312" width="9.140625" style="162"/>
    <col min="13313" max="13313" width="13.7109375" style="162" customWidth="1"/>
    <col min="13314" max="13314" width="10.28515625" style="162" customWidth="1"/>
    <col min="13315" max="13315" width="18.85546875" style="162" customWidth="1"/>
    <col min="13316" max="13316" width="25.7109375" style="162" customWidth="1"/>
    <col min="13317" max="13318" width="22.28515625" style="162" customWidth="1"/>
    <col min="13319" max="13319" width="15.42578125" style="162" customWidth="1"/>
    <col min="13320" max="13320" width="18.85546875" style="162" customWidth="1"/>
    <col min="13321" max="13321" width="22.28515625" style="162" customWidth="1"/>
    <col min="13322" max="13323" width="17.140625" style="162" customWidth="1"/>
    <col min="13324" max="13325" width="3.42578125" style="162" customWidth="1"/>
    <col min="13326" max="13332" width="17.140625" style="162" customWidth="1"/>
    <col min="13333" max="13333" width="22.28515625" style="162" customWidth="1"/>
    <col min="13334" max="13335" width="17.140625" style="162" customWidth="1"/>
    <col min="13336" max="13336" width="20.5703125" style="162" customWidth="1"/>
    <col min="13337" max="13337" width="32.28515625" style="162" customWidth="1"/>
    <col min="13338" max="13338" width="0.28515625" style="162" customWidth="1"/>
    <col min="13339" max="13568" width="9.140625" style="162"/>
    <col min="13569" max="13569" width="13.7109375" style="162" customWidth="1"/>
    <col min="13570" max="13570" width="10.28515625" style="162" customWidth="1"/>
    <col min="13571" max="13571" width="18.85546875" style="162" customWidth="1"/>
    <col min="13572" max="13572" width="25.7109375" style="162" customWidth="1"/>
    <col min="13573" max="13574" width="22.28515625" style="162" customWidth="1"/>
    <col min="13575" max="13575" width="15.42578125" style="162" customWidth="1"/>
    <col min="13576" max="13576" width="18.85546875" style="162" customWidth="1"/>
    <col min="13577" max="13577" width="22.28515625" style="162" customWidth="1"/>
    <col min="13578" max="13579" width="17.140625" style="162" customWidth="1"/>
    <col min="13580" max="13581" width="3.42578125" style="162" customWidth="1"/>
    <col min="13582" max="13588" width="17.140625" style="162" customWidth="1"/>
    <col min="13589" max="13589" width="22.28515625" style="162" customWidth="1"/>
    <col min="13590" max="13591" width="17.140625" style="162" customWidth="1"/>
    <col min="13592" max="13592" width="20.5703125" style="162" customWidth="1"/>
    <col min="13593" max="13593" width="32.28515625" style="162" customWidth="1"/>
    <col min="13594" max="13594" width="0.28515625" style="162" customWidth="1"/>
    <col min="13595" max="13824" width="9.140625" style="162"/>
    <col min="13825" max="13825" width="13.7109375" style="162" customWidth="1"/>
    <col min="13826" max="13826" width="10.28515625" style="162" customWidth="1"/>
    <col min="13827" max="13827" width="18.85546875" style="162" customWidth="1"/>
    <col min="13828" max="13828" width="25.7109375" style="162" customWidth="1"/>
    <col min="13829" max="13830" width="22.28515625" style="162" customWidth="1"/>
    <col min="13831" max="13831" width="15.42578125" style="162" customWidth="1"/>
    <col min="13832" max="13832" width="18.85546875" style="162" customWidth="1"/>
    <col min="13833" max="13833" width="22.28515625" style="162" customWidth="1"/>
    <col min="13834" max="13835" width="17.140625" style="162" customWidth="1"/>
    <col min="13836" max="13837" width="3.42578125" style="162" customWidth="1"/>
    <col min="13838" max="13844" width="17.140625" style="162" customWidth="1"/>
    <col min="13845" max="13845" width="22.28515625" style="162" customWidth="1"/>
    <col min="13846" max="13847" width="17.140625" style="162" customWidth="1"/>
    <col min="13848" max="13848" width="20.5703125" style="162" customWidth="1"/>
    <col min="13849" max="13849" width="32.28515625" style="162" customWidth="1"/>
    <col min="13850" max="13850" width="0.28515625" style="162" customWidth="1"/>
    <col min="13851" max="14080" width="9.140625" style="162"/>
    <col min="14081" max="14081" width="13.7109375" style="162" customWidth="1"/>
    <col min="14082" max="14082" width="10.28515625" style="162" customWidth="1"/>
    <col min="14083" max="14083" width="18.85546875" style="162" customWidth="1"/>
    <col min="14084" max="14084" width="25.7109375" style="162" customWidth="1"/>
    <col min="14085" max="14086" width="22.28515625" style="162" customWidth="1"/>
    <col min="14087" max="14087" width="15.42578125" style="162" customWidth="1"/>
    <col min="14088" max="14088" width="18.85546875" style="162" customWidth="1"/>
    <col min="14089" max="14089" width="22.28515625" style="162" customWidth="1"/>
    <col min="14090" max="14091" width="17.140625" style="162" customWidth="1"/>
    <col min="14092" max="14093" width="3.42578125" style="162" customWidth="1"/>
    <col min="14094" max="14100" width="17.140625" style="162" customWidth="1"/>
    <col min="14101" max="14101" width="22.28515625" style="162" customWidth="1"/>
    <col min="14102" max="14103" width="17.140625" style="162" customWidth="1"/>
    <col min="14104" max="14104" width="20.5703125" style="162" customWidth="1"/>
    <col min="14105" max="14105" width="32.28515625" style="162" customWidth="1"/>
    <col min="14106" max="14106" width="0.28515625" style="162" customWidth="1"/>
    <col min="14107" max="14336" width="9.140625" style="162"/>
    <col min="14337" max="14337" width="13.7109375" style="162" customWidth="1"/>
    <col min="14338" max="14338" width="10.28515625" style="162" customWidth="1"/>
    <col min="14339" max="14339" width="18.85546875" style="162" customWidth="1"/>
    <col min="14340" max="14340" width="25.7109375" style="162" customWidth="1"/>
    <col min="14341" max="14342" width="22.28515625" style="162" customWidth="1"/>
    <col min="14343" max="14343" width="15.42578125" style="162" customWidth="1"/>
    <col min="14344" max="14344" width="18.85546875" style="162" customWidth="1"/>
    <col min="14345" max="14345" width="22.28515625" style="162" customWidth="1"/>
    <col min="14346" max="14347" width="17.140625" style="162" customWidth="1"/>
    <col min="14348" max="14349" width="3.42578125" style="162" customWidth="1"/>
    <col min="14350" max="14356" width="17.140625" style="162" customWidth="1"/>
    <col min="14357" max="14357" width="22.28515625" style="162" customWidth="1"/>
    <col min="14358" max="14359" width="17.140625" style="162" customWidth="1"/>
    <col min="14360" max="14360" width="20.5703125" style="162" customWidth="1"/>
    <col min="14361" max="14361" width="32.28515625" style="162" customWidth="1"/>
    <col min="14362" max="14362" width="0.28515625" style="162" customWidth="1"/>
    <col min="14363" max="14592" width="9.140625" style="162"/>
    <col min="14593" max="14593" width="13.7109375" style="162" customWidth="1"/>
    <col min="14594" max="14594" width="10.28515625" style="162" customWidth="1"/>
    <col min="14595" max="14595" width="18.85546875" style="162" customWidth="1"/>
    <col min="14596" max="14596" width="25.7109375" style="162" customWidth="1"/>
    <col min="14597" max="14598" width="22.28515625" style="162" customWidth="1"/>
    <col min="14599" max="14599" width="15.42578125" style="162" customWidth="1"/>
    <col min="14600" max="14600" width="18.85546875" style="162" customWidth="1"/>
    <col min="14601" max="14601" width="22.28515625" style="162" customWidth="1"/>
    <col min="14602" max="14603" width="17.140625" style="162" customWidth="1"/>
    <col min="14604" max="14605" width="3.42578125" style="162" customWidth="1"/>
    <col min="14606" max="14612" width="17.140625" style="162" customWidth="1"/>
    <col min="14613" max="14613" width="22.28515625" style="162" customWidth="1"/>
    <col min="14614" max="14615" width="17.140625" style="162" customWidth="1"/>
    <col min="14616" max="14616" width="20.5703125" style="162" customWidth="1"/>
    <col min="14617" max="14617" width="32.28515625" style="162" customWidth="1"/>
    <col min="14618" max="14618" width="0.28515625" style="162" customWidth="1"/>
    <col min="14619" max="14848" width="9.140625" style="162"/>
    <col min="14849" max="14849" width="13.7109375" style="162" customWidth="1"/>
    <col min="14850" max="14850" width="10.28515625" style="162" customWidth="1"/>
    <col min="14851" max="14851" width="18.85546875" style="162" customWidth="1"/>
    <col min="14852" max="14852" width="25.7109375" style="162" customWidth="1"/>
    <col min="14853" max="14854" width="22.28515625" style="162" customWidth="1"/>
    <col min="14855" max="14855" width="15.42578125" style="162" customWidth="1"/>
    <col min="14856" max="14856" width="18.85546875" style="162" customWidth="1"/>
    <col min="14857" max="14857" width="22.28515625" style="162" customWidth="1"/>
    <col min="14858" max="14859" width="17.140625" style="162" customWidth="1"/>
    <col min="14860" max="14861" width="3.42578125" style="162" customWidth="1"/>
    <col min="14862" max="14868" width="17.140625" style="162" customWidth="1"/>
    <col min="14869" max="14869" width="22.28515625" style="162" customWidth="1"/>
    <col min="14870" max="14871" width="17.140625" style="162" customWidth="1"/>
    <col min="14872" max="14872" width="20.5703125" style="162" customWidth="1"/>
    <col min="14873" max="14873" width="32.28515625" style="162" customWidth="1"/>
    <col min="14874" max="14874" width="0.28515625" style="162" customWidth="1"/>
    <col min="14875" max="15104" width="9.140625" style="162"/>
    <col min="15105" max="15105" width="13.7109375" style="162" customWidth="1"/>
    <col min="15106" max="15106" width="10.28515625" style="162" customWidth="1"/>
    <col min="15107" max="15107" width="18.85546875" style="162" customWidth="1"/>
    <col min="15108" max="15108" width="25.7109375" style="162" customWidth="1"/>
    <col min="15109" max="15110" width="22.28515625" style="162" customWidth="1"/>
    <col min="15111" max="15111" width="15.42578125" style="162" customWidth="1"/>
    <col min="15112" max="15112" width="18.85546875" style="162" customWidth="1"/>
    <col min="15113" max="15113" width="22.28515625" style="162" customWidth="1"/>
    <col min="15114" max="15115" width="17.140625" style="162" customWidth="1"/>
    <col min="15116" max="15117" width="3.42578125" style="162" customWidth="1"/>
    <col min="15118" max="15124" width="17.140625" style="162" customWidth="1"/>
    <col min="15125" max="15125" width="22.28515625" style="162" customWidth="1"/>
    <col min="15126" max="15127" width="17.140625" style="162" customWidth="1"/>
    <col min="15128" max="15128" width="20.5703125" style="162" customWidth="1"/>
    <col min="15129" max="15129" width="32.28515625" style="162" customWidth="1"/>
    <col min="15130" max="15130" width="0.28515625" style="162" customWidth="1"/>
    <col min="15131" max="15360" width="9.140625" style="162"/>
    <col min="15361" max="15361" width="13.7109375" style="162" customWidth="1"/>
    <col min="15362" max="15362" width="10.28515625" style="162" customWidth="1"/>
    <col min="15363" max="15363" width="18.85546875" style="162" customWidth="1"/>
    <col min="15364" max="15364" width="25.7109375" style="162" customWidth="1"/>
    <col min="15365" max="15366" width="22.28515625" style="162" customWidth="1"/>
    <col min="15367" max="15367" width="15.42578125" style="162" customWidth="1"/>
    <col min="15368" max="15368" width="18.85546875" style="162" customWidth="1"/>
    <col min="15369" max="15369" width="22.28515625" style="162" customWidth="1"/>
    <col min="15370" max="15371" width="17.140625" style="162" customWidth="1"/>
    <col min="15372" max="15373" width="3.42578125" style="162" customWidth="1"/>
    <col min="15374" max="15380" width="17.140625" style="162" customWidth="1"/>
    <col min="15381" max="15381" width="22.28515625" style="162" customWidth="1"/>
    <col min="15382" max="15383" width="17.140625" style="162" customWidth="1"/>
    <col min="15384" max="15384" width="20.5703125" style="162" customWidth="1"/>
    <col min="15385" max="15385" width="32.28515625" style="162" customWidth="1"/>
    <col min="15386" max="15386" width="0.28515625" style="162" customWidth="1"/>
    <col min="15387" max="15616" width="9.140625" style="162"/>
    <col min="15617" max="15617" width="13.7109375" style="162" customWidth="1"/>
    <col min="15618" max="15618" width="10.28515625" style="162" customWidth="1"/>
    <col min="15619" max="15619" width="18.85546875" style="162" customWidth="1"/>
    <col min="15620" max="15620" width="25.7109375" style="162" customWidth="1"/>
    <col min="15621" max="15622" width="22.28515625" style="162" customWidth="1"/>
    <col min="15623" max="15623" width="15.42578125" style="162" customWidth="1"/>
    <col min="15624" max="15624" width="18.85546875" style="162" customWidth="1"/>
    <col min="15625" max="15625" width="22.28515625" style="162" customWidth="1"/>
    <col min="15626" max="15627" width="17.140625" style="162" customWidth="1"/>
    <col min="15628" max="15629" width="3.42578125" style="162" customWidth="1"/>
    <col min="15630" max="15636" width="17.140625" style="162" customWidth="1"/>
    <col min="15637" max="15637" width="22.28515625" style="162" customWidth="1"/>
    <col min="15638" max="15639" width="17.140625" style="162" customWidth="1"/>
    <col min="15640" max="15640" width="20.5703125" style="162" customWidth="1"/>
    <col min="15641" max="15641" width="32.28515625" style="162" customWidth="1"/>
    <col min="15642" max="15642" width="0.28515625" style="162" customWidth="1"/>
    <col min="15643" max="15872" width="9.140625" style="162"/>
    <col min="15873" max="15873" width="13.7109375" style="162" customWidth="1"/>
    <col min="15874" max="15874" width="10.28515625" style="162" customWidth="1"/>
    <col min="15875" max="15875" width="18.85546875" style="162" customWidth="1"/>
    <col min="15876" max="15876" width="25.7109375" style="162" customWidth="1"/>
    <col min="15877" max="15878" width="22.28515625" style="162" customWidth="1"/>
    <col min="15879" max="15879" width="15.42578125" style="162" customWidth="1"/>
    <col min="15880" max="15880" width="18.85546875" style="162" customWidth="1"/>
    <col min="15881" max="15881" width="22.28515625" style="162" customWidth="1"/>
    <col min="15882" max="15883" width="17.140625" style="162" customWidth="1"/>
    <col min="15884" max="15885" width="3.42578125" style="162" customWidth="1"/>
    <col min="15886" max="15892" width="17.140625" style="162" customWidth="1"/>
    <col min="15893" max="15893" width="22.28515625" style="162" customWidth="1"/>
    <col min="15894" max="15895" width="17.140625" style="162" customWidth="1"/>
    <col min="15896" max="15896" width="20.5703125" style="162" customWidth="1"/>
    <col min="15897" max="15897" width="32.28515625" style="162" customWidth="1"/>
    <col min="15898" max="15898" width="0.28515625" style="162" customWidth="1"/>
    <col min="15899" max="16128" width="9.140625" style="162"/>
    <col min="16129" max="16129" width="13.7109375" style="162" customWidth="1"/>
    <col min="16130" max="16130" width="10.28515625" style="162" customWidth="1"/>
    <col min="16131" max="16131" width="18.85546875" style="162" customWidth="1"/>
    <col min="16132" max="16132" width="25.7109375" style="162" customWidth="1"/>
    <col min="16133" max="16134" width="22.28515625" style="162" customWidth="1"/>
    <col min="16135" max="16135" width="15.42578125" style="162" customWidth="1"/>
    <col min="16136" max="16136" width="18.85546875" style="162" customWidth="1"/>
    <col min="16137" max="16137" width="22.28515625" style="162" customWidth="1"/>
    <col min="16138" max="16139" width="17.140625" style="162" customWidth="1"/>
    <col min="16140" max="16141" width="3.42578125" style="162" customWidth="1"/>
    <col min="16142" max="16148" width="17.140625" style="162" customWidth="1"/>
    <col min="16149" max="16149" width="22.28515625" style="162" customWidth="1"/>
    <col min="16150" max="16151" width="17.140625" style="162" customWidth="1"/>
    <col min="16152" max="16152" width="20.5703125" style="162" customWidth="1"/>
    <col min="16153" max="16153" width="32.28515625" style="162" customWidth="1"/>
    <col min="16154" max="16154" width="0.28515625" style="162" customWidth="1"/>
    <col min="16155" max="16384" width="9.140625" style="162"/>
  </cols>
  <sheetData>
    <row r="1" spans="1:28" ht="90" customHeight="1" thickBot="1">
      <c r="A1" s="550" t="s">
        <v>2220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  <c r="S1" s="550"/>
      <c r="T1" s="550"/>
      <c r="U1" s="550"/>
      <c r="V1" s="550"/>
      <c r="W1" s="550"/>
      <c r="X1" s="550"/>
      <c r="Y1" s="550"/>
      <c r="Z1" s="163"/>
      <c r="AB1" s="277">
        <f>+SUM($AB$3:$AB$10)</f>
        <v>0</v>
      </c>
    </row>
    <row r="2" spans="1:28" ht="13.5" customHeight="1" thickBot="1">
      <c r="A2" s="225" t="s">
        <v>115</v>
      </c>
      <c r="B2" s="225" t="s">
        <v>116</v>
      </c>
      <c r="C2" s="225" t="s">
        <v>310</v>
      </c>
      <c r="D2" s="225" t="s">
        <v>95</v>
      </c>
      <c r="E2" s="225" t="s">
        <v>309</v>
      </c>
      <c r="F2" s="225" t="s">
        <v>308</v>
      </c>
      <c r="G2" s="225" t="s">
        <v>307</v>
      </c>
      <c r="H2" s="262" t="s">
        <v>306</v>
      </c>
      <c r="I2" s="225" t="s">
        <v>463</v>
      </c>
      <c r="J2" s="263" t="s">
        <v>305</v>
      </c>
      <c r="K2" s="262" t="s">
        <v>304</v>
      </c>
      <c r="L2" s="251" t="s">
        <v>303</v>
      </c>
      <c r="M2" s="251" t="s">
        <v>302</v>
      </c>
      <c r="N2" s="263" t="s">
        <v>301</v>
      </c>
      <c r="O2" s="263" t="s">
        <v>300</v>
      </c>
      <c r="P2" s="263" t="s">
        <v>299</v>
      </c>
      <c r="Q2" s="263" t="s">
        <v>298</v>
      </c>
      <c r="R2" s="263" t="s">
        <v>297</v>
      </c>
      <c r="S2" s="263" t="s">
        <v>296</v>
      </c>
      <c r="T2" s="263" t="s">
        <v>295</v>
      </c>
      <c r="U2" s="263" t="s">
        <v>294</v>
      </c>
      <c r="V2" s="262" t="s">
        <v>293</v>
      </c>
      <c r="W2" s="262" t="s">
        <v>292</v>
      </c>
      <c r="X2" s="262" t="s">
        <v>291</v>
      </c>
      <c r="Y2" s="551" t="s">
        <v>290</v>
      </c>
      <c r="Z2" s="551"/>
      <c r="AA2" s="220" t="s">
        <v>464</v>
      </c>
    </row>
    <row r="3" spans="1:28" ht="24">
      <c r="A3" s="355" t="s">
        <v>2221</v>
      </c>
      <c r="B3" s="264" t="s">
        <v>2222</v>
      </c>
      <c r="C3" s="264" t="s">
        <v>801</v>
      </c>
      <c r="D3" s="264" t="s">
        <v>2223</v>
      </c>
      <c r="E3" s="264" t="s">
        <v>2224</v>
      </c>
      <c r="F3" s="264" t="s">
        <v>2225</v>
      </c>
      <c r="G3" s="264" t="s">
        <v>326</v>
      </c>
      <c r="H3" s="265" t="s">
        <v>429</v>
      </c>
      <c r="I3" s="264" t="s">
        <v>464</v>
      </c>
      <c r="J3" s="266">
        <v>0</v>
      </c>
      <c r="K3" s="266">
        <v>1328.37</v>
      </c>
      <c r="L3" s="267" t="s">
        <v>1723</v>
      </c>
      <c r="M3" s="267"/>
      <c r="N3" s="266">
        <v>1328.37</v>
      </c>
      <c r="O3" s="266">
        <v>0</v>
      </c>
      <c r="P3" s="266">
        <v>1328.37</v>
      </c>
      <c r="Q3" s="266">
        <v>0</v>
      </c>
      <c r="R3" s="266">
        <v>0</v>
      </c>
      <c r="S3" s="266">
        <v>0</v>
      </c>
      <c r="T3" s="266">
        <v>0</v>
      </c>
      <c r="U3" s="266">
        <v>0</v>
      </c>
      <c r="V3" s="268">
        <v>8</v>
      </c>
      <c r="W3" s="268">
        <v>2</v>
      </c>
      <c r="X3" s="265" t="s">
        <v>927</v>
      </c>
      <c r="Y3" s="549"/>
      <c r="Z3" s="549"/>
      <c r="AA3" s="162">
        <f>+_xlfn.XLOOKUP(C3,'Rent Roll'!$C$7:$C$501,'Rent Roll'!$T$7:$T$501)</f>
        <v>1329</v>
      </c>
      <c r="AB3" s="162">
        <f>+IF(SUM(Q3:R3)&gt;AA3,AA3,0)</f>
        <v>0</v>
      </c>
    </row>
    <row r="4" spans="1:28" ht="24">
      <c r="A4" s="355" t="s">
        <v>2221</v>
      </c>
      <c r="B4" s="264" t="s">
        <v>2222</v>
      </c>
      <c r="C4" s="264" t="s">
        <v>801</v>
      </c>
      <c r="D4" s="264" t="s">
        <v>2223</v>
      </c>
      <c r="E4" s="264" t="s">
        <v>2224</v>
      </c>
      <c r="F4" s="264" t="s">
        <v>2225</v>
      </c>
      <c r="G4" s="264" t="s">
        <v>326</v>
      </c>
      <c r="H4" s="265" t="s">
        <v>429</v>
      </c>
      <c r="I4" s="264" t="s">
        <v>464</v>
      </c>
      <c r="J4" s="266">
        <v>0</v>
      </c>
      <c r="K4" s="266">
        <v>1329</v>
      </c>
      <c r="L4" s="267"/>
      <c r="M4" s="267"/>
      <c r="N4" s="266">
        <v>1329</v>
      </c>
      <c r="O4" s="266">
        <v>1329</v>
      </c>
      <c r="P4" s="266">
        <v>0</v>
      </c>
      <c r="Q4" s="266">
        <v>0</v>
      </c>
      <c r="R4" s="266">
        <v>0</v>
      </c>
      <c r="S4" s="266">
        <v>0</v>
      </c>
      <c r="T4" s="266">
        <v>0</v>
      </c>
      <c r="U4" s="266">
        <v>0</v>
      </c>
      <c r="V4" s="268">
        <v>8</v>
      </c>
      <c r="W4" s="268">
        <v>2</v>
      </c>
      <c r="X4" s="265" t="s">
        <v>927</v>
      </c>
      <c r="Y4" s="549"/>
      <c r="Z4" s="549"/>
      <c r="AA4" s="162">
        <f>+_xlfn.XLOOKUP(C4,'Rent Roll'!$C$7:$C$501,'Rent Roll'!$T$7:$T$501)</f>
        <v>1329</v>
      </c>
      <c r="AB4" s="162">
        <f t="shared" ref="AB4:AB8" si="0">+IF(SUM(Q4:R4)&gt;AA4,AA4,0)</f>
        <v>0</v>
      </c>
    </row>
    <row r="5" spans="1:28" ht="63" customHeight="1">
      <c r="A5" s="355" t="s">
        <v>2226</v>
      </c>
      <c r="B5" s="264" t="s">
        <v>2227</v>
      </c>
      <c r="C5" s="264" t="s">
        <v>805</v>
      </c>
      <c r="D5" s="264" t="s">
        <v>2228</v>
      </c>
      <c r="E5" s="264" t="s">
        <v>2229</v>
      </c>
      <c r="F5" s="264" t="s">
        <v>2230</v>
      </c>
      <c r="G5" s="264" t="s">
        <v>326</v>
      </c>
      <c r="H5" s="265" t="s">
        <v>1324</v>
      </c>
      <c r="I5" s="264" t="s">
        <v>464</v>
      </c>
      <c r="J5" s="266">
        <v>0</v>
      </c>
      <c r="K5" s="266">
        <v>1369</v>
      </c>
      <c r="L5" s="267"/>
      <c r="M5" s="267"/>
      <c r="N5" s="266">
        <v>1369</v>
      </c>
      <c r="O5" s="266">
        <v>1369</v>
      </c>
      <c r="P5" s="266">
        <v>0</v>
      </c>
      <c r="Q5" s="266">
        <v>0</v>
      </c>
      <c r="R5" s="266">
        <v>0</v>
      </c>
      <c r="S5" s="266">
        <v>0</v>
      </c>
      <c r="T5" s="266">
        <v>0</v>
      </c>
      <c r="U5" s="266">
        <v>0</v>
      </c>
      <c r="V5" s="268">
        <v>7</v>
      </c>
      <c r="W5" s="268">
        <v>1</v>
      </c>
      <c r="X5" s="265" t="s">
        <v>927</v>
      </c>
      <c r="Y5" s="549"/>
      <c r="Z5" s="549"/>
      <c r="AA5" s="162">
        <f>+_xlfn.XLOOKUP(C5,'Rent Roll'!$C$7:$C$501,'Rent Roll'!$T$7:$T$501)</f>
        <v>1369</v>
      </c>
      <c r="AB5" s="162">
        <f t="shared" si="0"/>
        <v>0</v>
      </c>
    </row>
    <row r="6" spans="1:28" ht="24">
      <c r="A6" s="355" t="s">
        <v>2231</v>
      </c>
      <c r="B6" s="264" t="s">
        <v>2232</v>
      </c>
      <c r="C6" s="264" t="s">
        <v>1021</v>
      </c>
      <c r="D6" s="264" t="s">
        <v>2233</v>
      </c>
      <c r="E6" s="264" t="s">
        <v>2234</v>
      </c>
      <c r="F6" s="264" t="s">
        <v>2235</v>
      </c>
      <c r="G6" s="264" t="s">
        <v>326</v>
      </c>
      <c r="H6" s="265" t="s">
        <v>498</v>
      </c>
      <c r="I6" s="264" t="s">
        <v>464</v>
      </c>
      <c r="J6" s="266">
        <v>0</v>
      </c>
      <c r="K6" s="266">
        <v>1324</v>
      </c>
      <c r="L6" s="267"/>
      <c r="M6" s="267"/>
      <c r="N6" s="266">
        <v>1324</v>
      </c>
      <c r="O6" s="266">
        <v>1324</v>
      </c>
      <c r="P6" s="266">
        <v>0</v>
      </c>
      <c r="Q6" s="266">
        <v>0</v>
      </c>
      <c r="R6" s="266">
        <v>0</v>
      </c>
      <c r="S6" s="266">
        <v>0</v>
      </c>
      <c r="T6" s="266">
        <v>0</v>
      </c>
      <c r="U6" s="266">
        <v>0</v>
      </c>
      <c r="V6" s="268">
        <v>6</v>
      </c>
      <c r="W6" s="268">
        <v>0</v>
      </c>
      <c r="X6" s="265" t="s">
        <v>927</v>
      </c>
      <c r="Y6" s="549"/>
      <c r="Z6" s="549"/>
      <c r="AA6" s="162">
        <f>+_xlfn.XLOOKUP(C6,'Rent Roll'!$C$7:$C$501,'Rent Roll'!$T$7:$T$501)</f>
        <v>1324</v>
      </c>
      <c r="AB6" s="162">
        <f t="shared" si="0"/>
        <v>0</v>
      </c>
    </row>
    <row r="7" spans="1:28">
      <c r="A7" s="355" t="s">
        <v>1923</v>
      </c>
      <c r="B7" s="264" t="s">
        <v>1924</v>
      </c>
      <c r="C7" s="264" t="s">
        <v>1192</v>
      </c>
      <c r="D7" s="264" t="s">
        <v>1925</v>
      </c>
      <c r="E7" s="264" t="s">
        <v>126</v>
      </c>
      <c r="F7" s="264" t="s">
        <v>1926</v>
      </c>
      <c r="G7" s="264" t="s">
        <v>326</v>
      </c>
      <c r="H7" s="265" t="s">
        <v>493</v>
      </c>
      <c r="I7" s="264" t="s">
        <v>464</v>
      </c>
      <c r="J7" s="266">
        <v>0</v>
      </c>
      <c r="K7" s="266">
        <v>1579</v>
      </c>
      <c r="L7" s="267"/>
      <c r="M7" s="267"/>
      <c r="N7" s="266">
        <v>1579</v>
      </c>
      <c r="O7" s="266">
        <v>1579</v>
      </c>
      <c r="P7" s="266">
        <v>0</v>
      </c>
      <c r="Q7" s="266">
        <v>0</v>
      </c>
      <c r="R7" s="266">
        <v>0</v>
      </c>
      <c r="S7" s="266">
        <v>0</v>
      </c>
      <c r="T7" s="266">
        <v>0</v>
      </c>
      <c r="U7" s="266">
        <v>0</v>
      </c>
      <c r="V7" s="268">
        <v>5</v>
      </c>
      <c r="W7" s="268">
        <v>1</v>
      </c>
      <c r="X7" s="265" t="s">
        <v>927</v>
      </c>
      <c r="Y7" s="549"/>
      <c r="Z7" s="549"/>
      <c r="AA7" s="162">
        <f>+_xlfn.XLOOKUP(C7,'Rent Roll'!$C$7:$C$501,'Rent Roll'!$T$7:$T$501)</f>
        <v>1579</v>
      </c>
      <c r="AB7" s="162">
        <f t="shared" si="0"/>
        <v>0</v>
      </c>
    </row>
    <row r="8" spans="1:28" ht="13.5" customHeight="1">
      <c r="A8" s="355" t="s">
        <v>2236</v>
      </c>
      <c r="B8" s="264" t="s">
        <v>2237</v>
      </c>
      <c r="C8" s="264" t="s">
        <v>1336</v>
      </c>
      <c r="D8" s="264" t="s">
        <v>2238</v>
      </c>
      <c r="E8" s="264" t="s">
        <v>2239</v>
      </c>
      <c r="F8" s="264" t="s">
        <v>2240</v>
      </c>
      <c r="G8" s="264" t="s">
        <v>326</v>
      </c>
      <c r="H8" s="265" t="s">
        <v>488</v>
      </c>
      <c r="I8" s="264" t="s">
        <v>464</v>
      </c>
      <c r="J8" s="266">
        <v>0</v>
      </c>
      <c r="K8" s="266">
        <v>101.87</v>
      </c>
      <c r="L8" s="267"/>
      <c r="M8" s="267"/>
      <c r="N8" s="266">
        <v>101.87</v>
      </c>
      <c r="O8" s="266">
        <v>101.87</v>
      </c>
      <c r="P8" s="266">
        <v>0</v>
      </c>
      <c r="Q8" s="266">
        <v>0</v>
      </c>
      <c r="R8" s="266">
        <v>0</v>
      </c>
      <c r="S8" s="266">
        <v>0</v>
      </c>
      <c r="T8" s="266">
        <v>0</v>
      </c>
      <c r="U8" s="266">
        <v>0</v>
      </c>
      <c r="V8" s="268">
        <v>1</v>
      </c>
      <c r="W8" s="268">
        <v>0</v>
      </c>
      <c r="X8" s="265"/>
      <c r="Y8" s="549"/>
      <c r="Z8" s="549"/>
      <c r="AA8" s="162">
        <f>+_xlfn.XLOOKUP(C8,'Rent Roll'!$C$7:$C$501,'Rent Roll'!$T$7:$T$501)</f>
        <v>1579</v>
      </c>
      <c r="AB8" s="162">
        <f t="shared" si="0"/>
        <v>0</v>
      </c>
    </row>
    <row r="9" spans="1:28" ht="24">
      <c r="A9" s="355" t="s">
        <v>2241</v>
      </c>
      <c r="B9" s="264" t="s">
        <v>2242</v>
      </c>
      <c r="C9" s="264" t="s">
        <v>1366</v>
      </c>
      <c r="D9" s="264" t="s">
        <v>2021</v>
      </c>
      <c r="E9" s="264" t="s">
        <v>2243</v>
      </c>
      <c r="F9" s="264" t="s">
        <v>2244</v>
      </c>
      <c r="G9" s="264" t="s">
        <v>326</v>
      </c>
      <c r="H9" s="265" t="s">
        <v>461</v>
      </c>
      <c r="I9" s="264" t="s">
        <v>464</v>
      </c>
      <c r="J9" s="266">
        <v>0</v>
      </c>
      <c r="K9" s="266">
        <v>2358</v>
      </c>
      <c r="L9" s="267"/>
      <c r="M9" s="267"/>
      <c r="N9" s="266">
        <v>2358</v>
      </c>
      <c r="O9" s="266">
        <v>1179</v>
      </c>
      <c r="P9" s="266">
        <v>1179</v>
      </c>
      <c r="Q9" s="266">
        <v>0</v>
      </c>
      <c r="R9" s="266">
        <v>0</v>
      </c>
      <c r="S9" s="266">
        <v>0</v>
      </c>
      <c r="T9" s="266">
        <v>0</v>
      </c>
      <c r="U9" s="266">
        <v>0</v>
      </c>
      <c r="V9" s="268">
        <v>2</v>
      </c>
      <c r="W9" s="268">
        <v>0</v>
      </c>
      <c r="X9" s="265" t="s">
        <v>927</v>
      </c>
      <c r="Y9" s="549"/>
      <c r="Z9" s="549"/>
      <c r="AA9" s="162">
        <f>+_xlfn.XLOOKUP(C9,'Rent Roll'!$C$7:$C$501,'Rent Roll'!$T$7:$T$501)</f>
        <v>1179</v>
      </c>
      <c r="AB9" s="162">
        <f t="shared" ref="AB9:AB10" si="1">+IF(SUM(Q9:R9)&gt;AA9,AA9,0)</f>
        <v>0</v>
      </c>
    </row>
    <row r="10" spans="1:28">
      <c r="A10" s="355" t="s">
        <v>2245</v>
      </c>
      <c r="B10" s="264" t="s">
        <v>2246</v>
      </c>
      <c r="C10" s="264" t="s">
        <v>1480</v>
      </c>
      <c r="D10" s="264" t="s">
        <v>2247</v>
      </c>
      <c r="E10" s="264" t="s">
        <v>2248</v>
      </c>
      <c r="F10" s="264" t="s">
        <v>2249</v>
      </c>
      <c r="G10" s="264" t="s">
        <v>326</v>
      </c>
      <c r="H10" s="265" t="s">
        <v>437</v>
      </c>
      <c r="I10" s="264" t="s">
        <v>464</v>
      </c>
      <c r="J10" s="266">
        <v>0</v>
      </c>
      <c r="K10" s="266">
        <v>1249</v>
      </c>
      <c r="L10" s="267"/>
      <c r="M10" s="267"/>
      <c r="N10" s="266">
        <v>1249</v>
      </c>
      <c r="O10" s="266">
        <v>1249</v>
      </c>
      <c r="P10" s="266">
        <v>0</v>
      </c>
      <c r="Q10" s="266">
        <v>0</v>
      </c>
      <c r="R10" s="266">
        <v>0</v>
      </c>
      <c r="S10" s="266">
        <v>0</v>
      </c>
      <c r="T10" s="266">
        <v>0</v>
      </c>
      <c r="U10" s="266">
        <v>0</v>
      </c>
      <c r="V10" s="268">
        <v>5</v>
      </c>
      <c r="W10" s="268">
        <v>0</v>
      </c>
      <c r="X10" s="265" t="s">
        <v>927</v>
      </c>
      <c r="Y10" s="549"/>
      <c r="Z10" s="549"/>
      <c r="AA10" s="162">
        <f>+_xlfn.XLOOKUP(C10,'Rent Roll'!$C$7:$C$501,'Rent Roll'!$T$7:$T$501)</f>
        <v>1249</v>
      </c>
      <c r="AB10" s="162">
        <f t="shared" si="1"/>
        <v>0</v>
      </c>
    </row>
    <row r="11" spans="1:28" ht="13.5" thickBot="1">
      <c r="A11" s="488"/>
      <c r="B11" s="489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  <c r="O11" s="552"/>
      <c r="P11" s="552"/>
      <c r="Q11" s="552"/>
      <c r="R11" s="552"/>
      <c r="S11" s="552"/>
      <c r="T11" s="552"/>
      <c r="U11" s="552"/>
      <c r="V11" s="552"/>
      <c r="W11" s="552"/>
      <c r="X11" s="552"/>
      <c r="Y11" s="552"/>
      <c r="Z11" s="552"/>
    </row>
    <row r="12" spans="1:28" ht="13.5" thickBot="1">
      <c r="A12" s="490"/>
      <c r="B12" s="491"/>
      <c r="C12" s="491"/>
      <c r="D12" s="491"/>
      <c r="E12" s="491"/>
      <c r="F12" s="491"/>
      <c r="G12" s="491"/>
      <c r="H12" s="491"/>
      <c r="I12" s="491" t="s">
        <v>2250</v>
      </c>
      <c r="J12" s="492">
        <v>0</v>
      </c>
      <c r="K12" s="492">
        <v>10638.24</v>
      </c>
      <c r="L12" s="491"/>
      <c r="M12" s="491"/>
      <c r="N12" s="492">
        <v>10638.24</v>
      </c>
      <c r="O12" s="492">
        <v>8130.87</v>
      </c>
      <c r="P12" s="492">
        <v>2507.37</v>
      </c>
      <c r="Q12" s="492">
        <v>0</v>
      </c>
      <c r="R12" s="492">
        <v>0</v>
      </c>
      <c r="S12" s="492">
        <v>0</v>
      </c>
      <c r="T12" s="492">
        <v>0</v>
      </c>
      <c r="U12" s="491"/>
      <c r="V12" s="491"/>
      <c r="W12" s="491"/>
      <c r="X12" s="491"/>
      <c r="Y12" s="553"/>
      <c r="Z12" s="553"/>
    </row>
    <row r="13" spans="1:28" ht="13.5" thickBot="1">
      <c r="A13" s="554" t="s">
        <v>2251</v>
      </c>
      <c r="B13" s="554"/>
      <c r="C13" s="554"/>
      <c r="D13" s="554"/>
      <c r="E13" s="554"/>
      <c r="F13" s="554"/>
      <c r="G13" s="554"/>
      <c r="H13" s="554"/>
      <c r="I13" s="554"/>
      <c r="J13" s="554"/>
      <c r="K13" s="554"/>
      <c r="L13" s="554"/>
      <c r="M13" s="554"/>
      <c r="N13" s="554"/>
      <c r="O13" s="554"/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</row>
  </sheetData>
  <mergeCells count="13">
    <mergeCell ref="Y9:Z9"/>
    <mergeCell ref="Y10:Z10"/>
    <mergeCell ref="C11:Z11"/>
    <mergeCell ref="Y12:Z12"/>
    <mergeCell ref="A13:Z13"/>
    <mergeCell ref="Y8:Z8"/>
    <mergeCell ref="Y7:Z7"/>
    <mergeCell ref="A1:Y1"/>
    <mergeCell ref="Y2:Z2"/>
    <mergeCell ref="Y3:Z3"/>
    <mergeCell ref="Y4:Z4"/>
    <mergeCell ref="Y5:Z5"/>
    <mergeCell ref="Y6:Z6"/>
  </mergeCells>
  <pageMargins left="1" right="1" top="1" bottom="1" header="1" footer="1"/>
  <pageSetup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DF09-E340-40DF-8FEE-05AA909EF102}">
  <dimension ref="B1:S34"/>
  <sheetViews>
    <sheetView showGridLines="0" zoomScale="85" zoomScaleNormal="85" workbookViewId="0">
      <selection activeCell="B3" sqref="B3"/>
    </sheetView>
  </sheetViews>
  <sheetFormatPr defaultRowHeight="12.75"/>
  <cols>
    <col min="2" max="2" width="11" bestFit="1" customWidth="1"/>
    <col min="6" max="6" width="31.7109375" bestFit="1" customWidth="1"/>
    <col min="7" max="7" width="11.140625" bestFit="1" customWidth="1"/>
    <col min="8" max="8" width="15.5703125" customWidth="1"/>
    <col min="9" max="9" width="10.28515625" bestFit="1" customWidth="1"/>
    <col min="19" max="19" width="10.140625" bestFit="1" customWidth="1"/>
  </cols>
  <sheetData>
    <row r="1" spans="2:9">
      <c r="F1" s="342" t="s">
        <v>1772</v>
      </c>
      <c r="G1" s="342" t="s">
        <v>1773</v>
      </c>
      <c r="H1" s="342" t="s">
        <v>1774</v>
      </c>
      <c r="I1" s="342" t="s">
        <v>1915</v>
      </c>
    </row>
    <row r="2" spans="2:9">
      <c r="B2" s="259" t="s">
        <v>1724</v>
      </c>
      <c r="E2" s="214" t="s">
        <v>1766</v>
      </c>
      <c r="F2" s="209" t="s">
        <v>1768</v>
      </c>
      <c r="G2" s="209" t="s">
        <v>1771</v>
      </c>
      <c r="H2" s="341">
        <v>196372.3</v>
      </c>
      <c r="I2" s="270">
        <v>46160</v>
      </c>
    </row>
    <row r="3" spans="2:9">
      <c r="B3" s="305">
        <f>+SUM(H2:H3)</f>
        <v>384207.81999999995</v>
      </c>
      <c r="E3" s="214" t="s">
        <v>1767</v>
      </c>
      <c r="F3" s="209" t="s">
        <v>1769</v>
      </c>
      <c r="G3" s="209" t="s">
        <v>1770</v>
      </c>
      <c r="H3" s="341">
        <v>187835.51999999999</v>
      </c>
      <c r="I3" s="270">
        <v>46160</v>
      </c>
    </row>
    <row r="30" spans="19:19">
      <c r="S30" s="253"/>
    </row>
    <row r="31" spans="19:19">
      <c r="S31" s="252"/>
    </row>
    <row r="33" spans="19:19">
      <c r="S33" s="259"/>
    </row>
    <row r="34" spans="19:19">
      <c r="S34" s="209"/>
    </row>
  </sheetData>
  <hyperlinks>
    <hyperlink ref="B2" r:id="rId1" display="https://treasurer.maricopa.gov/parcel/TaxDetails.aspx?taxyear=2024" xr:uid="{F8439D47-B0AA-4E8A-ABFC-D73D9CB11CA1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2569-D52D-4C67-A921-4EDC012E4223}">
  <dimension ref="B2:D14"/>
  <sheetViews>
    <sheetView showGridLines="0" workbookViewId="0">
      <selection activeCell="H31" sqref="H31"/>
    </sheetView>
  </sheetViews>
  <sheetFormatPr defaultRowHeight="12.75"/>
  <cols>
    <col min="1" max="1" width="5.140625" customWidth="1"/>
    <col min="2" max="2" width="29.140625" bestFit="1" customWidth="1"/>
    <col min="3" max="3" width="11.7109375" bestFit="1" customWidth="1"/>
    <col min="4" max="4" width="14.7109375" bestFit="1" customWidth="1"/>
  </cols>
  <sheetData>
    <row r="2" spans="2:4">
      <c r="B2" t="s">
        <v>339</v>
      </c>
      <c r="C2" s="207">
        <v>4.4999999999999998E-2</v>
      </c>
      <c r="D2" s="208" t="str">
        <f>IF(C2=C3,"At-the-Money",IF(C2&lt;C3,"In-the-Money",IF(C2&gt;C3,"Out-of-the-Money")))</f>
        <v>Out-of-the-Money</v>
      </c>
    </row>
    <row r="3" spans="2:4">
      <c r="B3" s="209" t="s">
        <v>340</v>
      </c>
      <c r="C3" s="207">
        <v>3.6799999999999999E-2</v>
      </c>
      <c r="D3" s="270">
        <v>46022</v>
      </c>
    </row>
    <row r="4" spans="2:4">
      <c r="B4" t="s">
        <v>285</v>
      </c>
      <c r="C4" s="207">
        <v>2.35E-2</v>
      </c>
      <c r="D4" s="105"/>
    </row>
    <row r="5" spans="2:4">
      <c r="B5" s="210" t="s">
        <v>341</v>
      </c>
      <c r="C5" s="211">
        <f>SUM(MIN(C3,C2),C4)</f>
        <v>6.0299999999999999E-2</v>
      </c>
      <c r="D5" s="105"/>
    </row>
    <row r="7" spans="2:4">
      <c r="B7" s="212" t="s">
        <v>342</v>
      </c>
      <c r="C7" s="213">
        <f>'NEW OSAR'!E6</f>
        <v>92071459.129999995</v>
      </c>
    </row>
    <row r="8" spans="2:4">
      <c r="B8" s="214"/>
      <c r="C8" s="215"/>
    </row>
    <row r="9" spans="2:4">
      <c r="B9" s="209" t="s">
        <v>318</v>
      </c>
      <c r="C9" s="412">
        <f>'NEW OSAR'!I57</f>
        <v>5953111.0047999993</v>
      </c>
    </row>
    <row r="10" spans="2:4">
      <c r="B10" s="209" t="s">
        <v>343</v>
      </c>
      <c r="C10" s="216">
        <f>C7*(C3+C4)*(365/360)</f>
        <v>5629018.8325603744</v>
      </c>
    </row>
    <row r="11" spans="2:4">
      <c r="B11" s="212" t="s">
        <v>344</v>
      </c>
      <c r="C11" s="213">
        <f>C7*C5*(365/360)</f>
        <v>5629018.8325603744</v>
      </c>
    </row>
    <row r="13" spans="2:4">
      <c r="B13" s="209" t="s">
        <v>345</v>
      </c>
      <c r="C13" s="218">
        <f>C9/C10</f>
        <v>1.0575752510126548</v>
      </c>
      <c r="D13" s="217"/>
    </row>
    <row r="14" spans="2:4">
      <c r="B14" s="212" t="s">
        <v>346</v>
      </c>
      <c r="C14" s="219">
        <f>C9/C11</f>
        <v>1.0575752510126548</v>
      </c>
      <c r="D14" s="217"/>
    </row>
  </sheetData>
  <conditionalFormatting sqref="D2">
    <cfRule type="expression" dxfId="3" priority="1" stopIfTrue="1">
      <formula>$A$1=1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ED19-00DD-4485-BB8B-1AA188BC0E19}">
  <dimension ref="A1:P34"/>
  <sheetViews>
    <sheetView showGridLines="0" zoomScale="115" zoomScaleNormal="115" workbookViewId="0">
      <selection activeCell="B2" sqref="B2:P4"/>
    </sheetView>
  </sheetViews>
  <sheetFormatPr defaultColWidth="8.140625" defaultRowHeight="15" customHeight="1"/>
  <cols>
    <col min="1" max="1" width="3.28515625" style="165" customWidth="1"/>
    <col min="2" max="2" width="30.140625" style="165" bestFit="1" customWidth="1"/>
    <col min="3" max="3" width="10" style="165" customWidth="1"/>
    <col min="4" max="4" width="11.5703125" style="165" bestFit="1" customWidth="1"/>
    <col min="5" max="5" width="6.85546875" style="165" customWidth="1"/>
    <col min="6" max="6" width="6.140625" style="165" customWidth="1"/>
    <col min="7" max="7" width="10.140625" style="165" customWidth="1"/>
    <col min="8" max="8" width="11.42578125" style="165" bestFit="1" customWidth="1"/>
    <col min="9" max="9" width="6.85546875" style="165" customWidth="1"/>
    <col min="10" max="10" width="6.140625" style="165" customWidth="1"/>
    <col min="11" max="11" width="10.140625" style="165" customWidth="1"/>
    <col min="12" max="12" width="11" style="165" customWidth="1"/>
    <col min="13" max="13" width="7.7109375" style="165" bestFit="1" customWidth="1"/>
    <col min="14" max="14" width="6.7109375" style="165" bestFit="1" customWidth="1"/>
    <col min="15" max="15" width="8.7109375" style="165" customWidth="1"/>
    <col min="16" max="16384" width="8.140625" style="165"/>
  </cols>
  <sheetData>
    <row r="1" spans="1:16" ht="15" customHeight="1">
      <c r="A1" s="164">
        <v>1</v>
      </c>
    </row>
    <row r="2" spans="1:16" ht="15" customHeight="1">
      <c r="B2" s="166"/>
      <c r="C2" s="167" t="s">
        <v>1916</v>
      </c>
      <c r="D2" s="168"/>
      <c r="E2" s="168"/>
      <c r="F2" s="169"/>
      <c r="G2" s="170" t="s">
        <v>1922</v>
      </c>
      <c r="H2" s="168"/>
      <c r="I2" s="168"/>
      <c r="J2" s="169"/>
      <c r="K2" s="170" t="s">
        <v>314</v>
      </c>
      <c r="L2" s="168"/>
      <c r="M2" s="168"/>
      <c r="N2" s="169"/>
      <c r="O2" s="168" t="s">
        <v>315</v>
      </c>
      <c r="P2" s="171"/>
    </row>
    <row r="3" spans="1:16" ht="15" customHeight="1">
      <c r="B3" s="172" t="s">
        <v>316</v>
      </c>
      <c r="C3" s="173" t="s">
        <v>317</v>
      </c>
      <c r="D3" s="174" t="s">
        <v>318</v>
      </c>
      <c r="E3" s="174" t="s">
        <v>319</v>
      </c>
      <c r="F3" s="175" t="s">
        <v>320</v>
      </c>
      <c r="G3" s="173" t="s">
        <v>317</v>
      </c>
      <c r="H3" s="174" t="s">
        <v>318</v>
      </c>
      <c r="I3" s="174" t="s">
        <v>319</v>
      </c>
      <c r="J3" s="175" t="s">
        <v>320</v>
      </c>
      <c r="K3" s="173" t="s">
        <v>317</v>
      </c>
      <c r="L3" s="174" t="s">
        <v>318</v>
      </c>
      <c r="M3" s="174" t="s">
        <v>319</v>
      </c>
      <c r="N3" s="175" t="s">
        <v>320</v>
      </c>
      <c r="O3" s="174" t="s">
        <v>321</v>
      </c>
      <c r="P3" s="176" t="s">
        <v>322</v>
      </c>
    </row>
    <row r="4" spans="1:16" ht="15" customHeight="1">
      <c r="B4" s="177" t="s">
        <v>1725</v>
      </c>
      <c r="C4" s="178">
        <v>0.93333333333333335</v>
      </c>
      <c r="D4" s="179">
        <v>6115743.5786000006</v>
      </c>
      <c r="E4" s="181">
        <v>6.6692950693565983E-2</v>
      </c>
      <c r="F4" s="180">
        <v>0.98803840784656505</v>
      </c>
      <c r="G4" s="188" t="e">
        <f>#REF!</f>
        <v>#REF!</v>
      </c>
      <c r="H4" s="189" t="e">
        <f>+#REF!</f>
        <v>#REF!</v>
      </c>
      <c r="I4" s="190" t="e">
        <f>#REF!</f>
        <v>#REF!</v>
      </c>
      <c r="J4" s="191" t="e">
        <f>#REF!</f>
        <v>#REF!</v>
      </c>
      <c r="K4" s="356" t="e">
        <f t="shared" ref="K4:M4" si="0">IF(G4="","-",G4-C4)</f>
        <v>#REF!</v>
      </c>
      <c r="L4" s="182" t="e">
        <f>IF(H4="","-",H4-D4)</f>
        <v>#REF!</v>
      </c>
      <c r="M4" s="226" t="e">
        <f t="shared" si="0"/>
        <v>#REF!</v>
      </c>
      <c r="N4" s="183" t="e">
        <f>IF(J4="","-",J4-F4)</f>
        <v>#REF!</v>
      </c>
      <c r="O4" s="184" t="s">
        <v>1726</v>
      </c>
      <c r="P4" s="185">
        <v>7.0000000000000007E-2</v>
      </c>
    </row>
    <row r="6" spans="1:16" ht="15" customHeight="1">
      <c r="B6" s="186" t="s">
        <v>323</v>
      </c>
      <c r="C6" s="186"/>
    </row>
    <row r="7" spans="1:16" ht="15" customHeight="1">
      <c r="B7" s="187" t="s">
        <v>324</v>
      </c>
      <c r="C7" s="187"/>
    </row>
    <row r="8" spans="1:16" ht="15" customHeight="1">
      <c r="B8" s="187" t="s">
        <v>325</v>
      </c>
    </row>
    <row r="9" spans="1:16" ht="15" customHeight="1">
      <c r="B9" s="187"/>
    </row>
    <row r="10" spans="1:16" ht="15" customHeight="1">
      <c r="B10" s="186"/>
    </row>
    <row r="11" spans="1:16" ht="15" customHeight="1">
      <c r="B11" s="187"/>
    </row>
    <row r="12" spans="1:16" ht="15" customHeight="1">
      <c r="B12" s="187"/>
    </row>
    <row r="13" spans="1:16" ht="15" customHeight="1">
      <c r="B13" s="187"/>
    </row>
    <row r="14" spans="1:16" ht="15" customHeight="1">
      <c r="B14" s="187"/>
    </row>
    <row r="15" spans="1:16" ht="15" customHeight="1">
      <c r="B15" s="187"/>
    </row>
    <row r="16" spans="1:16" ht="15" customHeight="1">
      <c r="B16" s="187"/>
    </row>
    <row r="17" spans="2:2" ht="15" customHeight="1">
      <c r="B17" s="187"/>
    </row>
    <row r="18" spans="2:2" ht="15" customHeight="1">
      <c r="B18" s="187"/>
    </row>
    <row r="19" spans="2:2" ht="15" customHeight="1">
      <c r="B19" s="187"/>
    </row>
    <row r="20" spans="2:2" ht="15" customHeight="1">
      <c r="B20" s="187"/>
    </row>
    <row r="21" spans="2:2" ht="15" customHeight="1">
      <c r="B21" s="187"/>
    </row>
    <row r="22" spans="2:2" ht="15" customHeight="1">
      <c r="B22" s="187"/>
    </row>
    <row r="23" spans="2:2" ht="15" customHeight="1">
      <c r="B23" s="187"/>
    </row>
    <row r="24" spans="2:2" ht="15" customHeight="1">
      <c r="B24" s="187"/>
    </row>
    <row r="25" spans="2:2" ht="15" customHeight="1">
      <c r="B25" s="187"/>
    </row>
    <row r="26" spans="2:2" ht="15" customHeight="1">
      <c r="B26" s="187"/>
    </row>
    <row r="27" spans="2:2" ht="15" customHeight="1">
      <c r="B27" s="187"/>
    </row>
    <row r="28" spans="2:2" ht="15" customHeight="1">
      <c r="B28" s="187"/>
    </row>
    <row r="29" spans="2:2" ht="15" customHeight="1">
      <c r="B29" s="187"/>
    </row>
    <row r="30" spans="2:2" ht="15" customHeight="1">
      <c r="B30" s="187"/>
    </row>
    <row r="31" spans="2:2" ht="15" customHeight="1">
      <c r="B31" s="187"/>
    </row>
    <row r="32" spans="2:2" ht="15" customHeight="1">
      <c r="B32" s="187"/>
    </row>
    <row r="33" spans="2:2" ht="15" customHeight="1">
      <c r="B33" s="187"/>
    </row>
    <row r="34" spans="2:2" ht="15" customHeight="1">
      <c r="B34" s="187"/>
    </row>
  </sheetData>
  <conditionalFormatting sqref="B4:P18">
    <cfRule type="expression" dxfId="2" priority="3">
      <formula>$A$1</formula>
    </cfRule>
  </conditionalFormatting>
  <conditionalFormatting sqref="K4:N4">
    <cfRule type="cellIs" dxfId="1" priority="1" operator="greaterThanOrEqual">
      <formula>0</formula>
    </cfRule>
    <cfRule type="cellIs" dxfId="0" priority="2" operator="lessThan">
      <formula>0</formula>
    </cfRule>
  </conditionalFormatting>
  <dataValidations count="1">
    <dataValidation type="list" allowBlank="1" showInputMessage="1" showErrorMessage="1" sqref="A1" xr:uid="{A7B9DF93-87E0-47D1-B235-3F520F7C3381}">
      <formula1>"1,0"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7F3C-8122-44B0-A595-FA6A8833257B}">
  <dimension ref="A1:R7"/>
  <sheetViews>
    <sheetView showGridLines="0" workbookViewId="0">
      <selection activeCell="R25" sqref="R25"/>
    </sheetView>
  </sheetViews>
  <sheetFormatPr defaultRowHeight="12.75"/>
  <cols>
    <col min="1" max="1" width="26.42578125" bestFit="1" customWidth="1"/>
    <col min="18" max="18" width="9.7109375" bestFit="1" customWidth="1"/>
  </cols>
  <sheetData>
    <row r="1" spans="1:18">
      <c r="A1" s="305">
        <v>130448.95</v>
      </c>
    </row>
    <row r="7" spans="1:18">
      <c r="R7" s="20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F15D-7DFA-4EBB-AF45-9C67743823AF}">
  <dimension ref="B2:O19"/>
  <sheetViews>
    <sheetView showGridLines="0" workbookViewId="0"/>
  </sheetViews>
  <sheetFormatPr defaultRowHeight="12.75"/>
  <cols>
    <col min="2" max="2" width="27.28515625" bestFit="1" customWidth="1"/>
    <col min="4" max="15" width="12.5703125" customWidth="1"/>
  </cols>
  <sheetData>
    <row r="2" spans="2:15">
      <c r="B2" s="209" t="s">
        <v>1775</v>
      </c>
      <c r="C2">
        <v>431</v>
      </c>
    </row>
    <row r="3" spans="2:15">
      <c r="B3" s="209" t="s">
        <v>1776</v>
      </c>
      <c r="C3">
        <v>436</v>
      </c>
    </row>
    <row r="4" spans="2:15">
      <c r="B4" s="209" t="s">
        <v>1777</v>
      </c>
      <c r="C4">
        <v>64</v>
      </c>
    </row>
    <row r="5" spans="2:15">
      <c r="B5" s="209" t="s">
        <v>1778</v>
      </c>
      <c r="C5">
        <f>+C4+C2</f>
        <v>495</v>
      </c>
    </row>
    <row r="6" spans="2:15">
      <c r="B6" s="209" t="s">
        <v>1779</v>
      </c>
      <c r="C6" t="e">
        <f>+#REF!</f>
        <v>#REF!</v>
      </c>
      <c r="D6" s="142" t="e">
        <f>+C6/C5</f>
        <v>#REF!</v>
      </c>
    </row>
    <row r="7" spans="2:15">
      <c r="B7" s="209" t="s">
        <v>1786</v>
      </c>
      <c r="C7" s="354">
        <v>45809</v>
      </c>
      <c r="D7" s="142"/>
    </row>
    <row r="9" spans="2:15">
      <c r="B9" s="347" t="s">
        <v>1780</v>
      </c>
      <c r="C9" s="348"/>
      <c r="D9" s="350">
        <f>+C7+365</f>
        <v>46174</v>
      </c>
      <c r="E9" s="350">
        <f>+D9+365</f>
        <v>46539</v>
      </c>
      <c r="F9" s="350">
        <f t="shared" ref="F9:O9" si="0">+E9+365</f>
        <v>46904</v>
      </c>
      <c r="G9" s="350">
        <f t="shared" si="0"/>
        <v>47269</v>
      </c>
      <c r="H9" s="350">
        <f t="shared" si="0"/>
        <v>47634</v>
      </c>
      <c r="I9" s="350">
        <f t="shared" si="0"/>
        <v>47999</v>
      </c>
      <c r="J9" s="350">
        <f t="shared" si="0"/>
        <v>48364</v>
      </c>
      <c r="K9" s="350">
        <f t="shared" si="0"/>
        <v>48729</v>
      </c>
      <c r="L9" s="350">
        <f t="shared" si="0"/>
        <v>49094</v>
      </c>
      <c r="M9" s="350">
        <f t="shared" si="0"/>
        <v>49459</v>
      </c>
      <c r="N9" s="350">
        <f t="shared" si="0"/>
        <v>49824</v>
      </c>
      <c r="O9" s="350">
        <f t="shared" si="0"/>
        <v>50189</v>
      </c>
    </row>
    <row r="10" spans="2:15">
      <c r="B10" s="348"/>
      <c r="C10" s="348"/>
      <c r="D10" s="349">
        <v>1</v>
      </c>
      <c r="E10" s="349">
        <f>+D10+1</f>
        <v>2</v>
      </c>
      <c r="F10" s="349">
        <f t="shared" ref="F10:O10" si="1">+E10+1</f>
        <v>3</v>
      </c>
      <c r="G10" s="349">
        <f t="shared" si="1"/>
        <v>4</v>
      </c>
      <c r="H10" s="349">
        <f t="shared" si="1"/>
        <v>5</v>
      </c>
      <c r="I10" s="349">
        <f t="shared" si="1"/>
        <v>6</v>
      </c>
      <c r="J10" s="349">
        <f t="shared" si="1"/>
        <v>7</v>
      </c>
      <c r="K10" s="349">
        <f t="shared" si="1"/>
        <v>8</v>
      </c>
      <c r="L10" s="349">
        <f t="shared" si="1"/>
        <v>9</v>
      </c>
      <c r="M10" s="349">
        <f t="shared" si="1"/>
        <v>10</v>
      </c>
      <c r="N10" s="349">
        <f t="shared" si="1"/>
        <v>11</v>
      </c>
      <c r="O10" s="349">
        <f t="shared" si="1"/>
        <v>12</v>
      </c>
    </row>
    <row r="11" spans="2:15">
      <c r="B11" s="351" t="s">
        <v>1783</v>
      </c>
    </row>
    <row r="12" spans="2:15">
      <c r="B12" s="209" t="s">
        <v>1781</v>
      </c>
      <c r="D12" s="353">
        <v>12</v>
      </c>
      <c r="E12" s="353">
        <v>12</v>
      </c>
      <c r="F12" s="353">
        <v>0</v>
      </c>
      <c r="G12" s="353">
        <v>0</v>
      </c>
      <c r="H12" s="353">
        <v>0</v>
      </c>
      <c r="I12" s="353">
        <v>0</v>
      </c>
      <c r="J12" s="353">
        <v>0</v>
      </c>
      <c r="K12" s="353">
        <v>0</v>
      </c>
      <c r="L12" s="353">
        <v>0</v>
      </c>
      <c r="M12" s="353">
        <v>0</v>
      </c>
      <c r="N12" s="353">
        <v>0</v>
      </c>
      <c r="O12" s="353">
        <v>0</v>
      </c>
    </row>
    <row r="13" spans="2:15">
      <c r="B13" s="209" t="s">
        <v>1782</v>
      </c>
      <c r="C13" s="352">
        <v>64</v>
      </c>
      <c r="D13" s="353">
        <f>+C13-D12</f>
        <v>52</v>
      </c>
      <c r="E13" s="353">
        <f t="shared" ref="E13:O13" si="2">+D13-E12</f>
        <v>40</v>
      </c>
      <c r="F13" s="353">
        <f t="shared" si="2"/>
        <v>40</v>
      </c>
      <c r="G13" s="353">
        <f t="shared" si="2"/>
        <v>40</v>
      </c>
      <c r="H13" s="353">
        <f t="shared" si="2"/>
        <v>40</v>
      </c>
      <c r="I13" s="353">
        <f t="shared" si="2"/>
        <v>40</v>
      </c>
      <c r="J13" s="353">
        <f t="shared" si="2"/>
        <v>40</v>
      </c>
      <c r="K13" s="353">
        <f t="shared" si="2"/>
        <v>40</v>
      </c>
      <c r="L13" s="353">
        <f t="shared" si="2"/>
        <v>40</v>
      </c>
      <c r="M13" s="353">
        <f t="shared" si="2"/>
        <v>40</v>
      </c>
      <c r="N13" s="353">
        <f t="shared" si="2"/>
        <v>40</v>
      </c>
      <c r="O13" s="353">
        <f t="shared" si="2"/>
        <v>40</v>
      </c>
    </row>
    <row r="14" spans="2:15">
      <c r="B14" s="209" t="s">
        <v>1785</v>
      </c>
      <c r="C14" s="352"/>
      <c r="D14" s="353">
        <f>+D12/12</f>
        <v>1</v>
      </c>
      <c r="E14" s="353">
        <f t="shared" ref="E14:O14" si="3">+E12/12</f>
        <v>1</v>
      </c>
      <c r="F14" s="353">
        <f t="shared" si="3"/>
        <v>0</v>
      </c>
      <c r="G14" s="353">
        <f t="shared" si="3"/>
        <v>0</v>
      </c>
      <c r="H14" s="353">
        <f t="shared" si="3"/>
        <v>0</v>
      </c>
      <c r="I14" s="353">
        <f t="shared" si="3"/>
        <v>0</v>
      </c>
      <c r="J14" s="353">
        <f t="shared" si="3"/>
        <v>0</v>
      </c>
      <c r="K14" s="353">
        <f t="shared" si="3"/>
        <v>0</v>
      </c>
      <c r="L14" s="353">
        <f t="shared" si="3"/>
        <v>0</v>
      </c>
      <c r="M14" s="353">
        <f t="shared" si="3"/>
        <v>0</v>
      </c>
      <c r="N14" s="353">
        <f t="shared" si="3"/>
        <v>0</v>
      </c>
      <c r="O14" s="353">
        <f t="shared" si="3"/>
        <v>0</v>
      </c>
    </row>
    <row r="16" spans="2:15">
      <c r="B16" s="351" t="s">
        <v>1784</v>
      </c>
    </row>
    <row r="17" spans="2:15">
      <c r="B17" s="209" t="s">
        <v>1781</v>
      </c>
      <c r="D17" s="353">
        <v>24</v>
      </c>
      <c r="E17" s="353">
        <v>12</v>
      </c>
      <c r="F17" s="353">
        <v>0</v>
      </c>
      <c r="G17" s="353">
        <v>0</v>
      </c>
      <c r="H17" s="353">
        <v>0</v>
      </c>
      <c r="I17" s="353">
        <v>0</v>
      </c>
      <c r="J17" s="353">
        <v>0</v>
      </c>
      <c r="K17" s="353">
        <v>0</v>
      </c>
      <c r="L17" s="353">
        <v>0</v>
      </c>
      <c r="M17" s="353">
        <v>0</v>
      </c>
      <c r="N17" s="353">
        <v>0</v>
      </c>
      <c r="O17" s="353">
        <v>0</v>
      </c>
    </row>
    <row r="18" spans="2:15">
      <c r="B18" s="209" t="s">
        <v>1782</v>
      </c>
      <c r="C18" s="352">
        <v>95</v>
      </c>
      <c r="D18" s="353">
        <f>+C18-D17</f>
        <v>71</v>
      </c>
      <c r="E18" s="353">
        <f>+D18-E17</f>
        <v>59</v>
      </c>
      <c r="F18" s="353">
        <f t="shared" ref="F18:O18" si="4">+E18-F17</f>
        <v>59</v>
      </c>
      <c r="G18" s="353">
        <f t="shared" si="4"/>
        <v>59</v>
      </c>
      <c r="H18" s="353">
        <f t="shared" si="4"/>
        <v>59</v>
      </c>
      <c r="I18" s="353">
        <f t="shared" si="4"/>
        <v>59</v>
      </c>
      <c r="J18" s="353">
        <f t="shared" si="4"/>
        <v>59</v>
      </c>
      <c r="K18" s="353">
        <f t="shared" si="4"/>
        <v>59</v>
      </c>
      <c r="L18" s="353">
        <f t="shared" si="4"/>
        <v>59</v>
      </c>
      <c r="M18" s="353">
        <f t="shared" si="4"/>
        <v>59</v>
      </c>
      <c r="N18" s="353">
        <f t="shared" si="4"/>
        <v>59</v>
      </c>
      <c r="O18" s="353">
        <f t="shared" si="4"/>
        <v>59</v>
      </c>
    </row>
    <row r="19" spans="2:15">
      <c r="B19" s="209" t="s">
        <v>1785</v>
      </c>
      <c r="D19" s="353">
        <f>+D17/12</f>
        <v>2</v>
      </c>
      <c r="E19" s="353">
        <f t="shared" ref="E19:O19" si="5">+E17/12</f>
        <v>1</v>
      </c>
      <c r="F19" s="353">
        <f t="shared" si="5"/>
        <v>0</v>
      </c>
      <c r="G19" s="353">
        <f t="shared" si="5"/>
        <v>0</v>
      </c>
      <c r="H19" s="353">
        <f t="shared" si="5"/>
        <v>0</v>
      </c>
      <c r="I19" s="353">
        <f t="shared" si="5"/>
        <v>0</v>
      </c>
      <c r="J19" s="353">
        <f t="shared" si="5"/>
        <v>0</v>
      </c>
      <c r="K19" s="353">
        <f t="shared" si="5"/>
        <v>0</v>
      </c>
      <c r="L19" s="353">
        <f t="shared" si="5"/>
        <v>0</v>
      </c>
      <c r="M19" s="353">
        <f t="shared" si="5"/>
        <v>0</v>
      </c>
      <c r="N19" s="353">
        <f t="shared" si="5"/>
        <v>0</v>
      </c>
      <c r="O19" s="353">
        <f t="shared" si="5"/>
        <v>0</v>
      </c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DDAC-0388-4FD0-B7C7-58F9A7B820EB}">
  <sheetPr>
    <outlinePr summaryBelow="0" summaryRight="0"/>
  </sheetPr>
  <dimension ref="A1:K38"/>
  <sheetViews>
    <sheetView showGridLines="0" workbookViewId="0">
      <pane ySplit="8" topLeftCell="A34" activePane="bottomLeft" state="frozen"/>
      <selection sqref="A1:P1"/>
      <selection pane="bottomLeft" sqref="A1:P1"/>
    </sheetView>
  </sheetViews>
  <sheetFormatPr defaultRowHeight="12.75"/>
  <cols>
    <col min="1" max="1" width="18.85546875" style="150" customWidth="1"/>
    <col min="2" max="2" width="17.140625" style="150" customWidth="1"/>
    <col min="3" max="4" width="18.85546875" style="150" customWidth="1"/>
    <col min="5" max="5" width="17.140625" style="150" customWidth="1"/>
    <col min="6" max="10" width="18.85546875" style="150" customWidth="1"/>
    <col min="11" max="11" width="198.85546875" style="150" customWidth="1"/>
    <col min="12" max="256" width="9.140625" style="150"/>
    <col min="257" max="257" width="18.85546875" style="150" customWidth="1"/>
    <col min="258" max="258" width="17.140625" style="150" customWidth="1"/>
    <col min="259" max="260" width="18.85546875" style="150" customWidth="1"/>
    <col min="261" max="261" width="17.140625" style="150" customWidth="1"/>
    <col min="262" max="266" width="18.85546875" style="150" customWidth="1"/>
    <col min="267" max="267" width="198.85546875" style="150" customWidth="1"/>
    <col min="268" max="512" width="9.140625" style="150"/>
    <col min="513" max="513" width="18.85546875" style="150" customWidth="1"/>
    <col min="514" max="514" width="17.140625" style="150" customWidth="1"/>
    <col min="515" max="516" width="18.85546875" style="150" customWidth="1"/>
    <col min="517" max="517" width="17.140625" style="150" customWidth="1"/>
    <col min="518" max="522" width="18.85546875" style="150" customWidth="1"/>
    <col min="523" max="523" width="198.85546875" style="150" customWidth="1"/>
    <col min="524" max="768" width="9.140625" style="150"/>
    <col min="769" max="769" width="18.85546875" style="150" customWidth="1"/>
    <col min="770" max="770" width="17.140625" style="150" customWidth="1"/>
    <col min="771" max="772" width="18.85546875" style="150" customWidth="1"/>
    <col min="773" max="773" width="17.140625" style="150" customWidth="1"/>
    <col min="774" max="778" width="18.85546875" style="150" customWidth="1"/>
    <col min="779" max="779" width="198.85546875" style="150" customWidth="1"/>
    <col min="780" max="1024" width="9.140625" style="150"/>
    <col min="1025" max="1025" width="18.85546875" style="150" customWidth="1"/>
    <col min="1026" max="1026" width="17.140625" style="150" customWidth="1"/>
    <col min="1027" max="1028" width="18.85546875" style="150" customWidth="1"/>
    <col min="1029" max="1029" width="17.140625" style="150" customWidth="1"/>
    <col min="1030" max="1034" width="18.85546875" style="150" customWidth="1"/>
    <col min="1035" max="1035" width="198.85546875" style="150" customWidth="1"/>
    <col min="1036" max="1280" width="9.140625" style="150"/>
    <col min="1281" max="1281" width="18.85546875" style="150" customWidth="1"/>
    <col min="1282" max="1282" width="17.140625" style="150" customWidth="1"/>
    <col min="1283" max="1284" width="18.85546875" style="150" customWidth="1"/>
    <col min="1285" max="1285" width="17.140625" style="150" customWidth="1"/>
    <col min="1286" max="1290" width="18.85546875" style="150" customWidth="1"/>
    <col min="1291" max="1291" width="198.85546875" style="150" customWidth="1"/>
    <col min="1292" max="1536" width="9.140625" style="150"/>
    <col min="1537" max="1537" width="18.85546875" style="150" customWidth="1"/>
    <col min="1538" max="1538" width="17.140625" style="150" customWidth="1"/>
    <col min="1539" max="1540" width="18.85546875" style="150" customWidth="1"/>
    <col min="1541" max="1541" width="17.140625" style="150" customWidth="1"/>
    <col min="1542" max="1546" width="18.85546875" style="150" customWidth="1"/>
    <col min="1547" max="1547" width="198.85546875" style="150" customWidth="1"/>
    <col min="1548" max="1792" width="9.140625" style="150"/>
    <col min="1793" max="1793" width="18.85546875" style="150" customWidth="1"/>
    <col min="1794" max="1794" width="17.140625" style="150" customWidth="1"/>
    <col min="1795" max="1796" width="18.85546875" style="150" customWidth="1"/>
    <col min="1797" max="1797" width="17.140625" style="150" customWidth="1"/>
    <col min="1798" max="1802" width="18.85546875" style="150" customWidth="1"/>
    <col min="1803" max="1803" width="198.85546875" style="150" customWidth="1"/>
    <col min="1804" max="2048" width="9.140625" style="150"/>
    <col min="2049" max="2049" width="18.85546875" style="150" customWidth="1"/>
    <col min="2050" max="2050" width="17.140625" style="150" customWidth="1"/>
    <col min="2051" max="2052" width="18.85546875" style="150" customWidth="1"/>
    <col min="2053" max="2053" width="17.140625" style="150" customWidth="1"/>
    <col min="2054" max="2058" width="18.85546875" style="150" customWidth="1"/>
    <col min="2059" max="2059" width="198.85546875" style="150" customWidth="1"/>
    <col min="2060" max="2304" width="9.140625" style="150"/>
    <col min="2305" max="2305" width="18.85546875" style="150" customWidth="1"/>
    <col min="2306" max="2306" width="17.140625" style="150" customWidth="1"/>
    <col min="2307" max="2308" width="18.85546875" style="150" customWidth="1"/>
    <col min="2309" max="2309" width="17.140625" style="150" customWidth="1"/>
    <col min="2310" max="2314" width="18.85546875" style="150" customWidth="1"/>
    <col min="2315" max="2315" width="198.85546875" style="150" customWidth="1"/>
    <col min="2316" max="2560" width="9.140625" style="150"/>
    <col min="2561" max="2561" width="18.85546875" style="150" customWidth="1"/>
    <col min="2562" max="2562" width="17.140625" style="150" customWidth="1"/>
    <col min="2563" max="2564" width="18.85546875" style="150" customWidth="1"/>
    <col min="2565" max="2565" width="17.140625" style="150" customWidth="1"/>
    <col min="2566" max="2570" width="18.85546875" style="150" customWidth="1"/>
    <col min="2571" max="2571" width="198.85546875" style="150" customWidth="1"/>
    <col min="2572" max="2816" width="9.140625" style="150"/>
    <col min="2817" max="2817" width="18.85546875" style="150" customWidth="1"/>
    <col min="2818" max="2818" width="17.140625" style="150" customWidth="1"/>
    <col min="2819" max="2820" width="18.85546875" style="150" customWidth="1"/>
    <col min="2821" max="2821" width="17.140625" style="150" customWidth="1"/>
    <col min="2822" max="2826" width="18.85546875" style="150" customWidth="1"/>
    <col min="2827" max="2827" width="198.85546875" style="150" customWidth="1"/>
    <col min="2828" max="3072" width="9.140625" style="150"/>
    <col min="3073" max="3073" width="18.85546875" style="150" customWidth="1"/>
    <col min="3074" max="3074" width="17.140625" style="150" customWidth="1"/>
    <col min="3075" max="3076" width="18.85546875" style="150" customWidth="1"/>
    <col min="3077" max="3077" width="17.140625" style="150" customWidth="1"/>
    <col min="3078" max="3082" width="18.85546875" style="150" customWidth="1"/>
    <col min="3083" max="3083" width="198.85546875" style="150" customWidth="1"/>
    <col min="3084" max="3328" width="9.140625" style="150"/>
    <col min="3329" max="3329" width="18.85546875" style="150" customWidth="1"/>
    <col min="3330" max="3330" width="17.140625" style="150" customWidth="1"/>
    <col min="3331" max="3332" width="18.85546875" style="150" customWidth="1"/>
    <col min="3333" max="3333" width="17.140625" style="150" customWidth="1"/>
    <col min="3334" max="3338" width="18.85546875" style="150" customWidth="1"/>
    <col min="3339" max="3339" width="198.85546875" style="150" customWidth="1"/>
    <col min="3340" max="3584" width="9.140625" style="150"/>
    <col min="3585" max="3585" width="18.85546875" style="150" customWidth="1"/>
    <col min="3586" max="3586" width="17.140625" style="150" customWidth="1"/>
    <col min="3587" max="3588" width="18.85546875" style="150" customWidth="1"/>
    <col min="3589" max="3589" width="17.140625" style="150" customWidth="1"/>
    <col min="3590" max="3594" width="18.85546875" style="150" customWidth="1"/>
    <col min="3595" max="3595" width="198.85546875" style="150" customWidth="1"/>
    <col min="3596" max="3840" width="9.140625" style="150"/>
    <col min="3841" max="3841" width="18.85546875" style="150" customWidth="1"/>
    <col min="3842" max="3842" width="17.140625" style="150" customWidth="1"/>
    <col min="3843" max="3844" width="18.85546875" style="150" customWidth="1"/>
    <col min="3845" max="3845" width="17.140625" style="150" customWidth="1"/>
    <col min="3846" max="3850" width="18.85546875" style="150" customWidth="1"/>
    <col min="3851" max="3851" width="198.85546875" style="150" customWidth="1"/>
    <col min="3852" max="4096" width="9.140625" style="150"/>
    <col min="4097" max="4097" width="18.85546875" style="150" customWidth="1"/>
    <col min="4098" max="4098" width="17.140625" style="150" customWidth="1"/>
    <col min="4099" max="4100" width="18.85546875" style="150" customWidth="1"/>
    <col min="4101" max="4101" width="17.140625" style="150" customWidth="1"/>
    <col min="4102" max="4106" width="18.85546875" style="150" customWidth="1"/>
    <col min="4107" max="4107" width="198.85546875" style="150" customWidth="1"/>
    <col min="4108" max="4352" width="9.140625" style="150"/>
    <col min="4353" max="4353" width="18.85546875" style="150" customWidth="1"/>
    <col min="4354" max="4354" width="17.140625" style="150" customWidth="1"/>
    <col min="4355" max="4356" width="18.85546875" style="150" customWidth="1"/>
    <col min="4357" max="4357" width="17.140625" style="150" customWidth="1"/>
    <col min="4358" max="4362" width="18.85546875" style="150" customWidth="1"/>
    <col min="4363" max="4363" width="198.85546875" style="150" customWidth="1"/>
    <col min="4364" max="4608" width="9.140625" style="150"/>
    <col min="4609" max="4609" width="18.85546875" style="150" customWidth="1"/>
    <col min="4610" max="4610" width="17.140625" style="150" customWidth="1"/>
    <col min="4611" max="4612" width="18.85546875" style="150" customWidth="1"/>
    <col min="4613" max="4613" width="17.140625" style="150" customWidth="1"/>
    <col min="4614" max="4618" width="18.85546875" style="150" customWidth="1"/>
    <col min="4619" max="4619" width="198.85546875" style="150" customWidth="1"/>
    <col min="4620" max="4864" width="9.140625" style="150"/>
    <col min="4865" max="4865" width="18.85546875" style="150" customWidth="1"/>
    <col min="4866" max="4866" width="17.140625" style="150" customWidth="1"/>
    <col min="4867" max="4868" width="18.85546875" style="150" customWidth="1"/>
    <col min="4869" max="4869" width="17.140625" style="150" customWidth="1"/>
    <col min="4870" max="4874" width="18.85546875" style="150" customWidth="1"/>
    <col min="4875" max="4875" width="198.85546875" style="150" customWidth="1"/>
    <col min="4876" max="5120" width="9.140625" style="150"/>
    <col min="5121" max="5121" width="18.85546875" style="150" customWidth="1"/>
    <col min="5122" max="5122" width="17.140625" style="150" customWidth="1"/>
    <col min="5123" max="5124" width="18.85546875" style="150" customWidth="1"/>
    <col min="5125" max="5125" width="17.140625" style="150" customWidth="1"/>
    <col min="5126" max="5130" width="18.85546875" style="150" customWidth="1"/>
    <col min="5131" max="5131" width="198.85546875" style="150" customWidth="1"/>
    <col min="5132" max="5376" width="9.140625" style="150"/>
    <col min="5377" max="5377" width="18.85546875" style="150" customWidth="1"/>
    <col min="5378" max="5378" width="17.140625" style="150" customWidth="1"/>
    <col min="5379" max="5380" width="18.85546875" style="150" customWidth="1"/>
    <col min="5381" max="5381" width="17.140625" style="150" customWidth="1"/>
    <col min="5382" max="5386" width="18.85546875" style="150" customWidth="1"/>
    <col min="5387" max="5387" width="198.85546875" style="150" customWidth="1"/>
    <col min="5388" max="5632" width="9.140625" style="150"/>
    <col min="5633" max="5633" width="18.85546875" style="150" customWidth="1"/>
    <col min="5634" max="5634" width="17.140625" style="150" customWidth="1"/>
    <col min="5635" max="5636" width="18.85546875" style="150" customWidth="1"/>
    <col min="5637" max="5637" width="17.140625" style="150" customWidth="1"/>
    <col min="5638" max="5642" width="18.85546875" style="150" customWidth="1"/>
    <col min="5643" max="5643" width="198.85546875" style="150" customWidth="1"/>
    <col min="5644" max="5888" width="9.140625" style="150"/>
    <col min="5889" max="5889" width="18.85546875" style="150" customWidth="1"/>
    <col min="5890" max="5890" width="17.140625" style="150" customWidth="1"/>
    <col min="5891" max="5892" width="18.85546875" style="150" customWidth="1"/>
    <col min="5893" max="5893" width="17.140625" style="150" customWidth="1"/>
    <col min="5894" max="5898" width="18.85546875" style="150" customWidth="1"/>
    <col min="5899" max="5899" width="198.85546875" style="150" customWidth="1"/>
    <col min="5900" max="6144" width="9.140625" style="150"/>
    <col min="6145" max="6145" width="18.85546875" style="150" customWidth="1"/>
    <col min="6146" max="6146" width="17.140625" style="150" customWidth="1"/>
    <col min="6147" max="6148" width="18.85546875" style="150" customWidth="1"/>
    <col min="6149" max="6149" width="17.140625" style="150" customWidth="1"/>
    <col min="6150" max="6154" width="18.85546875" style="150" customWidth="1"/>
    <col min="6155" max="6155" width="198.85546875" style="150" customWidth="1"/>
    <col min="6156" max="6400" width="9.140625" style="150"/>
    <col min="6401" max="6401" width="18.85546875" style="150" customWidth="1"/>
    <col min="6402" max="6402" width="17.140625" style="150" customWidth="1"/>
    <col min="6403" max="6404" width="18.85546875" style="150" customWidth="1"/>
    <col min="6405" max="6405" width="17.140625" style="150" customWidth="1"/>
    <col min="6406" max="6410" width="18.85546875" style="150" customWidth="1"/>
    <col min="6411" max="6411" width="198.85546875" style="150" customWidth="1"/>
    <col min="6412" max="6656" width="9.140625" style="150"/>
    <col min="6657" max="6657" width="18.85546875" style="150" customWidth="1"/>
    <col min="6658" max="6658" width="17.140625" style="150" customWidth="1"/>
    <col min="6659" max="6660" width="18.85546875" style="150" customWidth="1"/>
    <col min="6661" max="6661" width="17.140625" style="150" customWidth="1"/>
    <col min="6662" max="6666" width="18.85546875" style="150" customWidth="1"/>
    <col min="6667" max="6667" width="198.85546875" style="150" customWidth="1"/>
    <col min="6668" max="6912" width="9.140625" style="150"/>
    <col min="6913" max="6913" width="18.85546875" style="150" customWidth="1"/>
    <col min="6914" max="6914" width="17.140625" style="150" customWidth="1"/>
    <col min="6915" max="6916" width="18.85546875" style="150" customWidth="1"/>
    <col min="6917" max="6917" width="17.140625" style="150" customWidth="1"/>
    <col min="6918" max="6922" width="18.85546875" style="150" customWidth="1"/>
    <col min="6923" max="6923" width="198.85546875" style="150" customWidth="1"/>
    <col min="6924" max="7168" width="9.140625" style="150"/>
    <col min="7169" max="7169" width="18.85546875" style="150" customWidth="1"/>
    <col min="7170" max="7170" width="17.140625" style="150" customWidth="1"/>
    <col min="7171" max="7172" width="18.85546875" style="150" customWidth="1"/>
    <col min="7173" max="7173" width="17.140625" style="150" customWidth="1"/>
    <col min="7174" max="7178" width="18.85546875" style="150" customWidth="1"/>
    <col min="7179" max="7179" width="198.85546875" style="150" customWidth="1"/>
    <col min="7180" max="7424" width="9.140625" style="150"/>
    <col min="7425" max="7425" width="18.85546875" style="150" customWidth="1"/>
    <col min="7426" max="7426" width="17.140625" style="150" customWidth="1"/>
    <col min="7427" max="7428" width="18.85546875" style="150" customWidth="1"/>
    <col min="7429" max="7429" width="17.140625" style="150" customWidth="1"/>
    <col min="7430" max="7434" width="18.85546875" style="150" customWidth="1"/>
    <col min="7435" max="7435" width="198.85546875" style="150" customWidth="1"/>
    <col min="7436" max="7680" width="9.140625" style="150"/>
    <col min="7681" max="7681" width="18.85546875" style="150" customWidth="1"/>
    <col min="7682" max="7682" width="17.140625" style="150" customWidth="1"/>
    <col min="7683" max="7684" width="18.85546875" style="150" customWidth="1"/>
    <col min="7685" max="7685" width="17.140625" style="150" customWidth="1"/>
    <col min="7686" max="7690" width="18.85546875" style="150" customWidth="1"/>
    <col min="7691" max="7691" width="198.85546875" style="150" customWidth="1"/>
    <col min="7692" max="7936" width="9.140625" style="150"/>
    <col min="7937" max="7937" width="18.85546875" style="150" customWidth="1"/>
    <col min="7938" max="7938" width="17.140625" style="150" customWidth="1"/>
    <col min="7939" max="7940" width="18.85546875" style="150" customWidth="1"/>
    <col min="7941" max="7941" width="17.140625" style="150" customWidth="1"/>
    <col min="7942" max="7946" width="18.85546875" style="150" customWidth="1"/>
    <col min="7947" max="7947" width="198.85546875" style="150" customWidth="1"/>
    <col min="7948" max="8192" width="9.140625" style="150"/>
    <col min="8193" max="8193" width="18.85546875" style="150" customWidth="1"/>
    <col min="8194" max="8194" width="17.140625" style="150" customWidth="1"/>
    <col min="8195" max="8196" width="18.85546875" style="150" customWidth="1"/>
    <col min="8197" max="8197" width="17.140625" style="150" customWidth="1"/>
    <col min="8198" max="8202" width="18.85546875" style="150" customWidth="1"/>
    <col min="8203" max="8203" width="198.85546875" style="150" customWidth="1"/>
    <col min="8204" max="8448" width="9.140625" style="150"/>
    <col min="8449" max="8449" width="18.85546875" style="150" customWidth="1"/>
    <col min="8450" max="8450" width="17.140625" style="150" customWidth="1"/>
    <col min="8451" max="8452" width="18.85546875" style="150" customWidth="1"/>
    <col min="8453" max="8453" width="17.140625" style="150" customWidth="1"/>
    <col min="8454" max="8458" width="18.85546875" style="150" customWidth="1"/>
    <col min="8459" max="8459" width="198.85546875" style="150" customWidth="1"/>
    <col min="8460" max="8704" width="9.140625" style="150"/>
    <col min="8705" max="8705" width="18.85546875" style="150" customWidth="1"/>
    <col min="8706" max="8706" width="17.140625" style="150" customWidth="1"/>
    <col min="8707" max="8708" width="18.85546875" style="150" customWidth="1"/>
    <col min="8709" max="8709" width="17.140625" style="150" customWidth="1"/>
    <col min="8710" max="8714" width="18.85546875" style="150" customWidth="1"/>
    <col min="8715" max="8715" width="198.85546875" style="150" customWidth="1"/>
    <col min="8716" max="8960" width="9.140625" style="150"/>
    <col min="8961" max="8961" width="18.85546875" style="150" customWidth="1"/>
    <col min="8962" max="8962" width="17.140625" style="150" customWidth="1"/>
    <col min="8963" max="8964" width="18.85546875" style="150" customWidth="1"/>
    <col min="8965" max="8965" width="17.140625" style="150" customWidth="1"/>
    <col min="8966" max="8970" width="18.85546875" style="150" customWidth="1"/>
    <col min="8971" max="8971" width="198.85546875" style="150" customWidth="1"/>
    <col min="8972" max="9216" width="9.140625" style="150"/>
    <col min="9217" max="9217" width="18.85546875" style="150" customWidth="1"/>
    <col min="9218" max="9218" width="17.140625" style="150" customWidth="1"/>
    <col min="9219" max="9220" width="18.85546875" style="150" customWidth="1"/>
    <col min="9221" max="9221" width="17.140625" style="150" customWidth="1"/>
    <col min="9222" max="9226" width="18.85546875" style="150" customWidth="1"/>
    <col min="9227" max="9227" width="198.85546875" style="150" customWidth="1"/>
    <col min="9228" max="9472" width="9.140625" style="150"/>
    <col min="9473" max="9473" width="18.85546875" style="150" customWidth="1"/>
    <col min="9474" max="9474" width="17.140625" style="150" customWidth="1"/>
    <col min="9475" max="9476" width="18.85546875" style="150" customWidth="1"/>
    <col min="9477" max="9477" width="17.140625" style="150" customWidth="1"/>
    <col min="9478" max="9482" width="18.85546875" style="150" customWidth="1"/>
    <col min="9483" max="9483" width="198.85546875" style="150" customWidth="1"/>
    <col min="9484" max="9728" width="9.140625" style="150"/>
    <col min="9729" max="9729" width="18.85546875" style="150" customWidth="1"/>
    <col min="9730" max="9730" width="17.140625" style="150" customWidth="1"/>
    <col min="9731" max="9732" width="18.85546875" style="150" customWidth="1"/>
    <col min="9733" max="9733" width="17.140625" style="150" customWidth="1"/>
    <col min="9734" max="9738" width="18.85546875" style="150" customWidth="1"/>
    <col min="9739" max="9739" width="198.85546875" style="150" customWidth="1"/>
    <col min="9740" max="9984" width="9.140625" style="150"/>
    <col min="9985" max="9985" width="18.85546875" style="150" customWidth="1"/>
    <col min="9986" max="9986" width="17.140625" style="150" customWidth="1"/>
    <col min="9987" max="9988" width="18.85546875" style="150" customWidth="1"/>
    <col min="9989" max="9989" width="17.140625" style="150" customWidth="1"/>
    <col min="9990" max="9994" width="18.85546875" style="150" customWidth="1"/>
    <col min="9995" max="9995" width="198.85546875" style="150" customWidth="1"/>
    <col min="9996" max="10240" width="9.140625" style="150"/>
    <col min="10241" max="10241" width="18.85546875" style="150" customWidth="1"/>
    <col min="10242" max="10242" width="17.140625" style="150" customWidth="1"/>
    <col min="10243" max="10244" width="18.85546875" style="150" customWidth="1"/>
    <col min="10245" max="10245" width="17.140625" style="150" customWidth="1"/>
    <col min="10246" max="10250" width="18.85546875" style="150" customWidth="1"/>
    <col min="10251" max="10251" width="198.85546875" style="150" customWidth="1"/>
    <col min="10252" max="10496" width="9.140625" style="150"/>
    <col min="10497" max="10497" width="18.85546875" style="150" customWidth="1"/>
    <col min="10498" max="10498" width="17.140625" style="150" customWidth="1"/>
    <col min="10499" max="10500" width="18.85546875" style="150" customWidth="1"/>
    <col min="10501" max="10501" width="17.140625" style="150" customWidth="1"/>
    <col min="10502" max="10506" width="18.85546875" style="150" customWidth="1"/>
    <col min="10507" max="10507" width="198.85546875" style="150" customWidth="1"/>
    <col min="10508" max="10752" width="9.140625" style="150"/>
    <col min="10753" max="10753" width="18.85546875" style="150" customWidth="1"/>
    <col min="10754" max="10754" width="17.140625" style="150" customWidth="1"/>
    <col min="10755" max="10756" width="18.85546875" style="150" customWidth="1"/>
    <col min="10757" max="10757" width="17.140625" style="150" customWidth="1"/>
    <col min="10758" max="10762" width="18.85546875" style="150" customWidth="1"/>
    <col min="10763" max="10763" width="198.85546875" style="150" customWidth="1"/>
    <col min="10764" max="11008" width="9.140625" style="150"/>
    <col min="11009" max="11009" width="18.85546875" style="150" customWidth="1"/>
    <col min="11010" max="11010" width="17.140625" style="150" customWidth="1"/>
    <col min="11011" max="11012" width="18.85546875" style="150" customWidth="1"/>
    <col min="11013" max="11013" width="17.140625" style="150" customWidth="1"/>
    <col min="11014" max="11018" width="18.85546875" style="150" customWidth="1"/>
    <col min="11019" max="11019" width="198.85546875" style="150" customWidth="1"/>
    <col min="11020" max="11264" width="9.140625" style="150"/>
    <col min="11265" max="11265" width="18.85546875" style="150" customWidth="1"/>
    <col min="11266" max="11266" width="17.140625" style="150" customWidth="1"/>
    <col min="11267" max="11268" width="18.85546875" style="150" customWidth="1"/>
    <col min="11269" max="11269" width="17.140625" style="150" customWidth="1"/>
    <col min="11270" max="11274" width="18.85546875" style="150" customWidth="1"/>
    <col min="11275" max="11275" width="198.85546875" style="150" customWidth="1"/>
    <col min="11276" max="11520" width="9.140625" style="150"/>
    <col min="11521" max="11521" width="18.85546875" style="150" customWidth="1"/>
    <col min="11522" max="11522" width="17.140625" style="150" customWidth="1"/>
    <col min="11523" max="11524" width="18.85546875" style="150" customWidth="1"/>
    <col min="11525" max="11525" width="17.140625" style="150" customWidth="1"/>
    <col min="11526" max="11530" width="18.85546875" style="150" customWidth="1"/>
    <col min="11531" max="11531" width="198.85546875" style="150" customWidth="1"/>
    <col min="11532" max="11776" width="9.140625" style="150"/>
    <col min="11777" max="11777" width="18.85546875" style="150" customWidth="1"/>
    <col min="11778" max="11778" width="17.140625" style="150" customWidth="1"/>
    <col min="11779" max="11780" width="18.85546875" style="150" customWidth="1"/>
    <col min="11781" max="11781" width="17.140625" style="150" customWidth="1"/>
    <col min="11782" max="11786" width="18.85546875" style="150" customWidth="1"/>
    <col min="11787" max="11787" width="198.85546875" style="150" customWidth="1"/>
    <col min="11788" max="12032" width="9.140625" style="150"/>
    <col min="12033" max="12033" width="18.85546875" style="150" customWidth="1"/>
    <col min="12034" max="12034" width="17.140625" style="150" customWidth="1"/>
    <col min="12035" max="12036" width="18.85546875" style="150" customWidth="1"/>
    <col min="12037" max="12037" width="17.140625" style="150" customWidth="1"/>
    <col min="12038" max="12042" width="18.85546875" style="150" customWidth="1"/>
    <col min="12043" max="12043" width="198.85546875" style="150" customWidth="1"/>
    <col min="12044" max="12288" width="9.140625" style="150"/>
    <col min="12289" max="12289" width="18.85546875" style="150" customWidth="1"/>
    <col min="12290" max="12290" width="17.140625" style="150" customWidth="1"/>
    <col min="12291" max="12292" width="18.85546875" style="150" customWidth="1"/>
    <col min="12293" max="12293" width="17.140625" style="150" customWidth="1"/>
    <col min="12294" max="12298" width="18.85546875" style="150" customWidth="1"/>
    <col min="12299" max="12299" width="198.85546875" style="150" customWidth="1"/>
    <col min="12300" max="12544" width="9.140625" style="150"/>
    <col min="12545" max="12545" width="18.85546875" style="150" customWidth="1"/>
    <col min="12546" max="12546" width="17.140625" style="150" customWidth="1"/>
    <col min="12547" max="12548" width="18.85546875" style="150" customWidth="1"/>
    <col min="12549" max="12549" width="17.140625" style="150" customWidth="1"/>
    <col min="12550" max="12554" width="18.85546875" style="150" customWidth="1"/>
    <col min="12555" max="12555" width="198.85546875" style="150" customWidth="1"/>
    <col min="12556" max="12800" width="9.140625" style="150"/>
    <col min="12801" max="12801" width="18.85546875" style="150" customWidth="1"/>
    <col min="12802" max="12802" width="17.140625" style="150" customWidth="1"/>
    <col min="12803" max="12804" width="18.85546875" style="150" customWidth="1"/>
    <col min="12805" max="12805" width="17.140625" style="150" customWidth="1"/>
    <col min="12806" max="12810" width="18.85546875" style="150" customWidth="1"/>
    <col min="12811" max="12811" width="198.85546875" style="150" customWidth="1"/>
    <col min="12812" max="13056" width="9.140625" style="150"/>
    <col min="13057" max="13057" width="18.85546875" style="150" customWidth="1"/>
    <col min="13058" max="13058" width="17.140625" style="150" customWidth="1"/>
    <col min="13059" max="13060" width="18.85546875" style="150" customWidth="1"/>
    <col min="13061" max="13061" width="17.140625" style="150" customWidth="1"/>
    <col min="13062" max="13066" width="18.85546875" style="150" customWidth="1"/>
    <col min="13067" max="13067" width="198.85546875" style="150" customWidth="1"/>
    <col min="13068" max="13312" width="9.140625" style="150"/>
    <col min="13313" max="13313" width="18.85546875" style="150" customWidth="1"/>
    <col min="13314" max="13314" width="17.140625" style="150" customWidth="1"/>
    <col min="13315" max="13316" width="18.85546875" style="150" customWidth="1"/>
    <col min="13317" max="13317" width="17.140625" style="150" customWidth="1"/>
    <col min="13318" max="13322" width="18.85546875" style="150" customWidth="1"/>
    <col min="13323" max="13323" width="198.85546875" style="150" customWidth="1"/>
    <col min="13324" max="13568" width="9.140625" style="150"/>
    <col min="13569" max="13569" width="18.85546875" style="150" customWidth="1"/>
    <col min="13570" max="13570" width="17.140625" style="150" customWidth="1"/>
    <col min="13571" max="13572" width="18.85546875" style="150" customWidth="1"/>
    <col min="13573" max="13573" width="17.140625" style="150" customWidth="1"/>
    <col min="13574" max="13578" width="18.85546875" style="150" customWidth="1"/>
    <col min="13579" max="13579" width="198.85546875" style="150" customWidth="1"/>
    <col min="13580" max="13824" width="9.140625" style="150"/>
    <col min="13825" max="13825" width="18.85546875" style="150" customWidth="1"/>
    <col min="13826" max="13826" width="17.140625" style="150" customWidth="1"/>
    <col min="13827" max="13828" width="18.85546875" style="150" customWidth="1"/>
    <col min="13829" max="13829" width="17.140625" style="150" customWidth="1"/>
    <col min="13830" max="13834" width="18.85546875" style="150" customWidth="1"/>
    <col min="13835" max="13835" width="198.85546875" style="150" customWidth="1"/>
    <col min="13836" max="14080" width="9.140625" style="150"/>
    <col min="14081" max="14081" width="18.85546875" style="150" customWidth="1"/>
    <col min="14082" max="14082" width="17.140625" style="150" customWidth="1"/>
    <col min="14083" max="14084" width="18.85546875" style="150" customWidth="1"/>
    <col min="14085" max="14085" width="17.140625" style="150" customWidth="1"/>
    <col min="14086" max="14090" width="18.85546875" style="150" customWidth="1"/>
    <col min="14091" max="14091" width="198.85546875" style="150" customWidth="1"/>
    <col min="14092" max="14336" width="9.140625" style="150"/>
    <col min="14337" max="14337" width="18.85546875" style="150" customWidth="1"/>
    <col min="14338" max="14338" width="17.140625" style="150" customWidth="1"/>
    <col min="14339" max="14340" width="18.85546875" style="150" customWidth="1"/>
    <col min="14341" max="14341" width="17.140625" style="150" customWidth="1"/>
    <col min="14342" max="14346" width="18.85546875" style="150" customWidth="1"/>
    <col min="14347" max="14347" width="198.85546875" style="150" customWidth="1"/>
    <col min="14348" max="14592" width="9.140625" style="150"/>
    <col min="14593" max="14593" width="18.85546875" style="150" customWidth="1"/>
    <col min="14594" max="14594" width="17.140625" style="150" customWidth="1"/>
    <col min="14595" max="14596" width="18.85546875" style="150" customWidth="1"/>
    <col min="14597" max="14597" width="17.140625" style="150" customWidth="1"/>
    <col min="14598" max="14602" width="18.85546875" style="150" customWidth="1"/>
    <col min="14603" max="14603" width="198.85546875" style="150" customWidth="1"/>
    <col min="14604" max="14848" width="9.140625" style="150"/>
    <col min="14849" max="14849" width="18.85546875" style="150" customWidth="1"/>
    <col min="14850" max="14850" width="17.140625" style="150" customWidth="1"/>
    <col min="14851" max="14852" width="18.85546875" style="150" customWidth="1"/>
    <col min="14853" max="14853" width="17.140625" style="150" customWidth="1"/>
    <col min="14854" max="14858" width="18.85546875" style="150" customWidth="1"/>
    <col min="14859" max="14859" width="198.85546875" style="150" customWidth="1"/>
    <col min="14860" max="15104" width="9.140625" style="150"/>
    <col min="15105" max="15105" width="18.85546875" style="150" customWidth="1"/>
    <col min="15106" max="15106" width="17.140625" style="150" customWidth="1"/>
    <col min="15107" max="15108" width="18.85546875" style="150" customWidth="1"/>
    <col min="15109" max="15109" width="17.140625" style="150" customWidth="1"/>
    <col min="15110" max="15114" width="18.85546875" style="150" customWidth="1"/>
    <col min="15115" max="15115" width="198.85546875" style="150" customWidth="1"/>
    <col min="15116" max="15360" width="9.140625" style="150"/>
    <col min="15361" max="15361" width="18.85546875" style="150" customWidth="1"/>
    <col min="15362" max="15362" width="17.140625" style="150" customWidth="1"/>
    <col min="15363" max="15364" width="18.85546875" style="150" customWidth="1"/>
    <col min="15365" max="15365" width="17.140625" style="150" customWidth="1"/>
    <col min="15366" max="15370" width="18.85546875" style="150" customWidth="1"/>
    <col min="15371" max="15371" width="198.85546875" style="150" customWidth="1"/>
    <col min="15372" max="15616" width="9.140625" style="150"/>
    <col min="15617" max="15617" width="18.85546875" style="150" customWidth="1"/>
    <col min="15618" max="15618" width="17.140625" style="150" customWidth="1"/>
    <col min="15619" max="15620" width="18.85546875" style="150" customWidth="1"/>
    <col min="15621" max="15621" width="17.140625" style="150" customWidth="1"/>
    <col min="15622" max="15626" width="18.85546875" style="150" customWidth="1"/>
    <col min="15627" max="15627" width="198.85546875" style="150" customWidth="1"/>
    <col min="15628" max="15872" width="9.140625" style="150"/>
    <col min="15873" max="15873" width="18.85546875" style="150" customWidth="1"/>
    <col min="15874" max="15874" width="17.140625" style="150" customWidth="1"/>
    <col min="15875" max="15876" width="18.85546875" style="150" customWidth="1"/>
    <col min="15877" max="15877" width="17.140625" style="150" customWidth="1"/>
    <col min="15878" max="15882" width="18.85546875" style="150" customWidth="1"/>
    <col min="15883" max="15883" width="198.85546875" style="150" customWidth="1"/>
    <col min="15884" max="16128" width="9.140625" style="150"/>
    <col min="16129" max="16129" width="18.85546875" style="150" customWidth="1"/>
    <col min="16130" max="16130" width="17.140625" style="150" customWidth="1"/>
    <col min="16131" max="16132" width="18.85546875" style="150" customWidth="1"/>
    <col min="16133" max="16133" width="17.140625" style="150" customWidth="1"/>
    <col min="16134" max="16138" width="18.85546875" style="150" customWidth="1"/>
    <col min="16139" max="16139" width="198.85546875" style="150" customWidth="1"/>
    <col min="16140" max="16384" width="9.140625" style="150"/>
  </cols>
  <sheetData>
    <row r="1" spans="1:11" ht="1.1499999999999999" customHeight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</row>
    <row r="2" spans="1:11" ht="18" customHeight="1">
      <c r="A2" s="556" t="s">
        <v>110</v>
      </c>
      <c r="B2" s="556"/>
      <c r="C2" s="556"/>
      <c r="D2" s="556"/>
      <c r="E2" s="556"/>
      <c r="F2" s="556"/>
      <c r="G2" s="556"/>
      <c r="H2" s="556"/>
      <c r="I2" s="556"/>
      <c r="J2" s="556"/>
      <c r="K2" s="556"/>
    </row>
    <row r="3" spans="1:11" ht="18" customHeight="1">
      <c r="A3" s="556" t="s">
        <v>111</v>
      </c>
      <c r="B3" s="556"/>
      <c r="C3" s="556"/>
      <c r="D3" s="556"/>
      <c r="E3" s="556"/>
      <c r="F3" s="556"/>
      <c r="G3" s="556"/>
      <c r="H3" s="556"/>
      <c r="I3" s="556"/>
      <c r="J3" s="556"/>
      <c r="K3" s="556"/>
    </row>
    <row r="4" spans="1:11" ht="18" customHeight="1">
      <c r="A4" s="556" t="s">
        <v>112</v>
      </c>
      <c r="B4" s="556"/>
      <c r="C4" s="556"/>
      <c r="D4" s="556"/>
      <c r="E4" s="556"/>
      <c r="F4" s="556"/>
      <c r="G4" s="556"/>
      <c r="H4" s="556"/>
      <c r="I4" s="556"/>
      <c r="J4" s="556"/>
      <c r="K4" s="556"/>
    </row>
    <row r="5" spans="1:11" ht="18" customHeight="1">
      <c r="A5" s="556" t="s">
        <v>113</v>
      </c>
      <c r="B5" s="556"/>
      <c r="C5" s="556"/>
      <c r="D5" s="556"/>
      <c r="E5" s="556"/>
      <c r="F5" s="556"/>
      <c r="G5" s="556"/>
      <c r="H5" s="556"/>
      <c r="I5" s="556"/>
      <c r="J5" s="556"/>
      <c r="K5" s="556"/>
    </row>
    <row r="6" spans="1:11" ht="18" customHeight="1">
      <c r="A6" s="556" t="s">
        <v>114</v>
      </c>
      <c r="B6" s="556"/>
      <c r="C6" s="556"/>
      <c r="D6" s="556"/>
      <c r="E6" s="556"/>
      <c r="F6" s="556"/>
      <c r="G6" s="556"/>
      <c r="H6" s="556"/>
      <c r="I6" s="556"/>
      <c r="J6" s="556"/>
      <c r="K6" s="556"/>
    </row>
    <row r="7" spans="1:11" ht="18" customHeight="1">
      <c r="A7" s="555" t="s">
        <v>182</v>
      </c>
      <c r="B7" s="555"/>
      <c r="C7" s="555"/>
      <c r="D7" s="555"/>
      <c r="E7" s="555"/>
      <c r="F7" s="555"/>
      <c r="G7" s="555"/>
      <c r="H7" s="555"/>
      <c r="I7" s="555"/>
      <c r="J7" s="555"/>
      <c r="K7" s="555"/>
    </row>
    <row r="8" spans="1:11" ht="25.5">
      <c r="A8" s="151" t="s">
        <v>117</v>
      </c>
      <c r="B8" s="151" t="s">
        <v>183</v>
      </c>
      <c r="C8" s="151" t="s">
        <v>184</v>
      </c>
      <c r="D8" s="151" t="s">
        <v>185</v>
      </c>
      <c r="E8" s="151" t="s">
        <v>186</v>
      </c>
      <c r="F8" s="151" t="s">
        <v>187</v>
      </c>
      <c r="G8" s="151" t="s">
        <v>188</v>
      </c>
      <c r="H8" s="151" t="s">
        <v>189</v>
      </c>
      <c r="I8" s="151" t="s">
        <v>190</v>
      </c>
      <c r="J8" s="151" t="s">
        <v>191</v>
      </c>
      <c r="K8" s="149"/>
    </row>
    <row r="9" spans="1:11">
      <c r="A9" s="152" t="s">
        <v>133</v>
      </c>
      <c r="B9" s="157">
        <v>9</v>
      </c>
      <c r="C9" s="154" t="s">
        <v>130</v>
      </c>
      <c r="D9" s="154" t="s">
        <v>131</v>
      </c>
      <c r="E9" s="154" t="s">
        <v>192</v>
      </c>
      <c r="F9" s="154" t="s">
        <v>193</v>
      </c>
      <c r="G9" s="154" t="s">
        <v>192</v>
      </c>
      <c r="H9" s="153" t="s">
        <v>194</v>
      </c>
      <c r="I9" s="154" t="s">
        <v>99</v>
      </c>
      <c r="J9" s="153" t="s">
        <v>195</v>
      </c>
      <c r="K9" s="149"/>
    </row>
    <row r="10" spans="1:11">
      <c r="A10" s="152" t="s">
        <v>129</v>
      </c>
      <c r="B10" s="157">
        <v>9</v>
      </c>
      <c r="C10" s="154" t="s">
        <v>130</v>
      </c>
      <c r="D10" s="154" t="s">
        <v>131</v>
      </c>
      <c r="E10" s="154" t="s">
        <v>192</v>
      </c>
      <c r="F10" s="154" t="s">
        <v>196</v>
      </c>
      <c r="G10" s="154" t="s">
        <v>197</v>
      </c>
      <c r="H10" s="153" t="s">
        <v>198</v>
      </c>
      <c r="I10" s="154" t="s">
        <v>199</v>
      </c>
      <c r="J10" s="153" t="s">
        <v>200</v>
      </c>
      <c r="K10" s="149"/>
    </row>
    <row r="11" spans="1:11">
      <c r="A11" s="152" t="s">
        <v>139</v>
      </c>
      <c r="B11" s="157">
        <v>6</v>
      </c>
      <c r="C11" s="154" t="s">
        <v>130</v>
      </c>
      <c r="D11" s="154" t="s">
        <v>141</v>
      </c>
      <c r="E11" s="154" t="s">
        <v>201</v>
      </c>
      <c r="F11" s="154" t="s">
        <v>202</v>
      </c>
      <c r="G11" s="154" t="s">
        <v>203</v>
      </c>
      <c r="H11" s="153" t="s">
        <v>100</v>
      </c>
      <c r="I11" s="154" t="s">
        <v>204</v>
      </c>
      <c r="J11" s="153" t="s">
        <v>200</v>
      </c>
      <c r="K11" s="149"/>
    </row>
    <row r="12" spans="1:11">
      <c r="A12" s="152" t="s">
        <v>166</v>
      </c>
      <c r="B12" s="157">
        <v>11</v>
      </c>
      <c r="C12" s="154" t="s">
        <v>165</v>
      </c>
      <c r="D12" s="154" t="s">
        <v>141</v>
      </c>
      <c r="E12" s="154" t="s">
        <v>203</v>
      </c>
      <c r="F12" s="154" t="s">
        <v>205</v>
      </c>
      <c r="G12" s="154" t="s">
        <v>197</v>
      </c>
      <c r="H12" s="153" t="s">
        <v>206</v>
      </c>
      <c r="I12" s="154" t="s">
        <v>99</v>
      </c>
      <c r="J12" s="153" t="s">
        <v>195</v>
      </c>
      <c r="K12" s="149"/>
    </row>
    <row r="13" spans="1:11">
      <c r="A13" s="152" t="s">
        <v>164</v>
      </c>
      <c r="B13" s="157">
        <v>7</v>
      </c>
      <c r="C13" s="154" t="s">
        <v>165</v>
      </c>
      <c r="D13" s="154" t="s">
        <v>141</v>
      </c>
      <c r="E13" s="154" t="s">
        <v>203</v>
      </c>
      <c r="F13" s="154" t="s">
        <v>207</v>
      </c>
      <c r="G13" s="154" t="s">
        <v>208</v>
      </c>
      <c r="H13" s="153" t="s">
        <v>209</v>
      </c>
      <c r="I13" s="154" t="s">
        <v>210</v>
      </c>
      <c r="J13" s="153" t="s">
        <v>200</v>
      </c>
      <c r="K13" s="149"/>
    </row>
    <row r="14" spans="1:11">
      <c r="A14" s="152" t="s">
        <v>167</v>
      </c>
      <c r="B14" s="157">
        <v>7</v>
      </c>
      <c r="C14" s="154" t="s">
        <v>165</v>
      </c>
      <c r="D14" s="154" t="s">
        <v>159</v>
      </c>
      <c r="E14" s="154" t="s">
        <v>201</v>
      </c>
      <c r="F14" s="154" t="s">
        <v>211</v>
      </c>
      <c r="G14" s="154" t="s">
        <v>212</v>
      </c>
      <c r="H14" s="153" t="s">
        <v>213</v>
      </c>
      <c r="I14" s="154" t="s">
        <v>214</v>
      </c>
      <c r="J14" s="153" t="s">
        <v>215</v>
      </c>
      <c r="K14" s="149"/>
    </row>
    <row r="15" spans="1:11">
      <c r="A15" s="152" t="s">
        <v>169</v>
      </c>
      <c r="B15" s="157">
        <v>6</v>
      </c>
      <c r="C15" s="154" t="s">
        <v>170</v>
      </c>
      <c r="D15" s="154" t="s">
        <v>168</v>
      </c>
      <c r="E15" s="154" t="s">
        <v>197</v>
      </c>
      <c r="F15" s="154" t="s">
        <v>216</v>
      </c>
      <c r="G15" s="154" t="s">
        <v>217</v>
      </c>
      <c r="H15" s="153" t="s">
        <v>102</v>
      </c>
      <c r="I15" s="154" t="s">
        <v>99</v>
      </c>
      <c r="J15" s="153" t="s">
        <v>195</v>
      </c>
      <c r="K15" s="149"/>
    </row>
    <row r="16" spans="1:11">
      <c r="A16" s="152" t="s">
        <v>171</v>
      </c>
      <c r="B16" s="157">
        <v>3</v>
      </c>
      <c r="C16" s="154" t="s">
        <v>170</v>
      </c>
      <c r="D16" s="154" t="s">
        <v>168</v>
      </c>
      <c r="E16" s="154" t="s">
        <v>197</v>
      </c>
      <c r="F16" s="154" t="s">
        <v>168</v>
      </c>
      <c r="G16" s="154" t="s">
        <v>197</v>
      </c>
      <c r="H16" s="153" t="s">
        <v>100</v>
      </c>
      <c r="I16" s="154" t="s">
        <v>218</v>
      </c>
      <c r="J16" s="153" t="s">
        <v>195</v>
      </c>
      <c r="K16" s="149"/>
    </row>
    <row r="17" spans="1:11">
      <c r="A17" s="152" t="s">
        <v>180</v>
      </c>
      <c r="B17" s="157">
        <v>2</v>
      </c>
      <c r="C17" s="154" t="s">
        <v>170</v>
      </c>
      <c r="D17" s="154" t="s">
        <v>181</v>
      </c>
      <c r="E17" s="154" t="s">
        <v>219</v>
      </c>
      <c r="F17" s="154" t="s">
        <v>181</v>
      </c>
      <c r="G17" s="154" t="s">
        <v>219</v>
      </c>
      <c r="H17" s="153" t="s">
        <v>200</v>
      </c>
      <c r="I17" s="154" t="s">
        <v>138</v>
      </c>
      <c r="J17" s="153" t="s">
        <v>195</v>
      </c>
      <c r="K17" s="149"/>
    </row>
    <row r="18" spans="1:11">
      <c r="A18" s="152" t="s">
        <v>172</v>
      </c>
      <c r="B18" s="157">
        <v>14</v>
      </c>
      <c r="C18" s="154" t="s">
        <v>173</v>
      </c>
      <c r="D18" s="154" t="s">
        <v>174</v>
      </c>
      <c r="E18" s="154" t="s">
        <v>220</v>
      </c>
      <c r="F18" s="154" t="s">
        <v>221</v>
      </c>
      <c r="G18" s="154" t="s">
        <v>222</v>
      </c>
      <c r="H18" s="153" t="s">
        <v>223</v>
      </c>
      <c r="I18" s="154" t="s">
        <v>99</v>
      </c>
      <c r="J18" s="153" t="s">
        <v>195</v>
      </c>
      <c r="K18" s="149"/>
    </row>
    <row r="19" spans="1:11">
      <c r="A19" s="152" t="s">
        <v>177</v>
      </c>
      <c r="B19" s="157">
        <v>4</v>
      </c>
      <c r="C19" s="154" t="s">
        <v>173</v>
      </c>
      <c r="D19" s="154" t="s">
        <v>174</v>
      </c>
      <c r="E19" s="154" t="s">
        <v>220</v>
      </c>
      <c r="F19" s="154" t="s">
        <v>224</v>
      </c>
      <c r="G19" s="154" t="s">
        <v>225</v>
      </c>
      <c r="H19" s="153" t="s">
        <v>213</v>
      </c>
      <c r="I19" s="154" t="s">
        <v>99</v>
      </c>
      <c r="J19" s="153" t="s">
        <v>200</v>
      </c>
      <c r="K19" s="149"/>
    </row>
    <row r="20" spans="1:11">
      <c r="A20" s="152" t="s">
        <v>175</v>
      </c>
      <c r="B20" s="157">
        <v>6</v>
      </c>
      <c r="C20" s="154" t="s">
        <v>173</v>
      </c>
      <c r="D20" s="154" t="s">
        <v>176</v>
      </c>
      <c r="E20" s="154" t="s">
        <v>226</v>
      </c>
      <c r="F20" s="154" t="s">
        <v>227</v>
      </c>
      <c r="G20" s="154" t="s">
        <v>228</v>
      </c>
      <c r="H20" s="153" t="s">
        <v>102</v>
      </c>
      <c r="I20" s="154" t="s">
        <v>99</v>
      </c>
      <c r="J20" s="153" t="s">
        <v>215</v>
      </c>
      <c r="K20" s="149"/>
    </row>
    <row r="21" spans="1:11">
      <c r="A21" s="152" t="s">
        <v>158</v>
      </c>
      <c r="B21" s="157">
        <v>43</v>
      </c>
      <c r="C21" s="154" t="s">
        <v>229</v>
      </c>
      <c r="D21" s="154" t="s">
        <v>159</v>
      </c>
      <c r="E21" s="154" t="s">
        <v>230</v>
      </c>
      <c r="F21" s="154" t="s">
        <v>231</v>
      </c>
      <c r="G21" s="154" t="s">
        <v>232</v>
      </c>
      <c r="H21" s="153" t="s">
        <v>154</v>
      </c>
      <c r="I21" s="154" t="s">
        <v>99</v>
      </c>
      <c r="J21" s="153" t="s">
        <v>195</v>
      </c>
      <c r="K21" s="149"/>
    </row>
    <row r="22" spans="1:11">
      <c r="A22" s="152" t="s">
        <v>163</v>
      </c>
      <c r="B22" s="157">
        <v>17</v>
      </c>
      <c r="C22" s="154" t="s">
        <v>229</v>
      </c>
      <c r="D22" s="154" t="s">
        <v>159</v>
      </c>
      <c r="E22" s="154" t="s">
        <v>230</v>
      </c>
      <c r="F22" s="154" t="s">
        <v>233</v>
      </c>
      <c r="G22" s="154" t="s">
        <v>234</v>
      </c>
      <c r="H22" s="153" t="s">
        <v>206</v>
      </c>
      <c r="I22" s="154" t="s">
        <v>235</v>
      </c>
      <c r="J22" s="153" t="s">
        <v>195</v>
      </c>
      <c r="K22" s="149"/>
    </row>
    <row r="23" spans="1:11">
      <c r="A23" s="152" t="s">
        <v>160</v>
      </c>
      <c r="B23" s="157">
        <v>12</v>
      </c>
      <c r="C23" s="154" t="s">
        <v>229</v>
      </c>
      <c r="D23" s="154" t="s">
        <v>161</v>
      </c>
      <c r="E23" s="154" t="s">
        <v>220</v>
      </c>
      <c r="F23" s="154" t="s">
        <v>236</v>
      </c>
      <c r="G23" s="154" t="s">
        <v>237</v>
      </c>
      <c r="H23" s="153" t="s">
        <v>206</v>
      </c>
      <c r="I23" s="154" t="s">
        <v>238</v>
      </c>
      <c r="J23" s="153" t="s">
        <v>195</v>
      </c>
      <c r="K23" s="149"/>
    </row>
    <row r="24" spans="1:11">
      <c r="A24" s="152" t="s">
        <v>149</v>
      </c>
      <c r="B24" s="157">
        <v>2</v>
      </c>
      <c r="C24" s="154" t="s">
        <v>239</v>
      </c>
      <c r="D24" s="154" t="s">
        <v>150</v>
      </c>
      <c r="E24" s="154" t="s">
        <v>232</v>
      </c>
      <c r="F24" s="154" t="s">
        <v>143</v>
      </c>
      <c r="G24" s="154" t="s">
        <v>240</v>
      </c>
      <c r="H24" s="153" t="s">
        <v>100</v>
      </c>
      <c r="I24" s="154" t="s">
        <v>99</v>
      </c>
      <c r="J24" s="153" t="s">
        <v>195</v>
      </c>
      <c r="K24" s="149"/>
    </row>
    <row r="25" spans="1:11">
      <c r="A25" s="152" t="s">
        <v>153</v>
      </c>
      <c r="B25" s="157">
        <v>3</v>
      </c>
      <c r="C25" s="154" t="s">
        <v>239</v>
      </c>
      <c r="D25" s="154" t="s">
        <v>150</v>
      </c>
      <c r="E25" s="154" t="s">
        <v>232</v>
      </c>
      <c r="F25" s="154" t="s">
        <v>241</v>
      </c>
      <c r="G25" s="154" t="s">
        <v>242</v>
      </c>
      <c r="H25" s="153" t="s">
        <v>100</v>
      </c>
      <c r="I25" s="154" t="s">
        <v>218</v>
      </c>
      <c r="J25" s="153" t="s">
        <v>195</v>
      </c>
      <c r="K25" s="149"/>
    </row>
    <row r="26" spans="1:11">
      <c r="A26" s="152" t="s">
        <v>147</v>
      </c>
      <c r="B26" s="157">
        <v>6</v>
      </c>
      <c r="C26" s="154" t="s">
        <v>239</v>
      </c>
      <c r="D26" s="154" t="s">
        <v>148</v>
      </c>
      <c r="E26" s="154" t="s">
        <v>243</v>
      </c>
      <c r="F26" s="154" t="s">
        <v>244</v>
      </c>
      <c r="G26" s="154" t="s">
        <v>245</v>
      </c>
      <c r="H26" s="153" t="s">
        <v>215</v>
      </c>
      <c r="I26" s="154" t="s">
        <v>138</v>
      </c>
      <c r="J26" s="153" t="s">
        <v>195</v>
      </c>
      <c r="K26" s="149"/>
    </row>
    <row r="27" spans="1:11">
      <c r="A27" s="152" t="s">
        <v>125</v>
      </c>
      <c r="B27" s="157">
        <v>9</v>
      </c>
      <c r="C27" s="154" t="s">
        <v>246</v>
      </c>
      <c r="D27" s="154" t="s">
        <v>127</v>
      </c>
      <c r="E27" s="154" t="s">
        <v>247</v>
      </c>
      <c r="F27" s="154" t="s">
        <v>248</v>
      </c>
      <c r="G27" s="154" t="s">
        <v>249</v>
      </c>
      <c r="H27" s="153" t="s">
        <v>194</v>
      </c>
      <c r="I27" s="154" t="s">
        <v>99</v>
      </c>
      <c r="J27" s="153" t="s">
        <v>195</v>
      </c>
      <c r="K27" s="149"/>
    </row>
    <row r="28" spans="1:11">
      <c r="A28" s="152" t="s">
        <v>134</v>
      </c>
      <c r="B28" s="157">
        <v>6</v>
      </c>
      <c r="C28" s="154" t="s">
        <v>246</v>
      </c>
      <c r="D28" s="154" t="s">
        <v>127</v>
      </c>
      <c r="E28" s="154" t="s">
        <v>247</v>
      </c>
      <c r="F28" s="154" t="s">
        <v>250</v>
      </c>
      <c r="G28" s="154" t="s">
        <v>247</v>
      </c>
      <c r="H28" s="153" t="s">
        <v>209</v>
      </c>
      <c r="I28" s="154" t="s">
        <v>251</v>
      </c>
      <c r="J28" s="153" t="s">
        <v>200</v>
      </c>
      <c r="K28" s="149"/>
    </row>
    <row r="29" spans="1:11">
      <c r="A29" s="152" t="s">
        <v>135</v>
      </c>
      <c r="B29" s="157">
        <v>8</v>
      </c>
      <c r="C29" s="154" t="s">
        <v>246</v>
      </c>
      <c r="D29" s="154" t="s">
        <v>136</v>
      </c>
      <c r="E29" s="154" t="s">
        <v>230</v>
      </c>
      <c r="F29" s="154" t="s">
        <v>252</v>
      </c>
      <c r="G29" s="154" t="s">
        <v>253</v>
      </c>
      <c r="H29" s="153" t="s">
        <v>102</v>
      </c>
      <c r="I29" s="154" t="s">
        <v>132</v>
      </c>
      <c r="J29" s="153" t="s">
        <v>200</v>
      </c>
      <c r="K29" s="149"/>
    </row>
    <row r="30" spans="1:11">
      <c r="A30" s="152" t="s">
        <v>178</v>
      </c>
      <c r="B30" s="157">
        <v>1</v>
      </c>
      <c r="C30" s="154" t="s">
        <v>254</v>
      </c>
      <c r="D30" s="154" t="s">
        <v>148</v>
      </c>
      <c r="E30" s="154" t="s">
        <v>253</v>
      </c>
      <c r="F30" s="154" t="s">
        <v>98</v>
      </c>
      <c r="G30" s="154" t="s">
        <v>98</v>
      </c>
      <c r="H30" s="153" t="s">
        <v>195</v>
      </c>
      <c r="I30" s="154" t="s">
        <v>98</v>
      </c>
      <c r="J30" s="153" t="s">
        <v>195</v>
      </c>
      <c r="K30" s="149"/>
    </row>
    <row r="31" spans="1:11">
      <c r="A31" s="152" t="s">
        <v>179</v>
      </c>
      <c r="B31" s="157">
        <v>1</v>
      </c>
      <c r="C31" s="154" t="s">
        <v>254</v>
      </c>
      <c r="D31" s="154" t="s">
        <v>136</v>
      </c>
      <c r="E31" s="154" t="s">
        <v>232</v>
      </c>
      <c r="F31" s="154" t="s">
        <v>128</v>
      </c>
      <c r="G31" s="154" t="s">
        <v>255</v>
      </c>
      <c r="H31" s="153" t="s">
        <v>200</v>
      </c>
      <c r="I31" s="154" t="s">
        <v>99</v>
      </c>
      <c r="J31" s="153" t="s">
        <v>200</v>
      </c>
      <c r="K31" s="149"/>
    </row>
    <row r="32" spans="1:11">
      <c r="A32" s="152" t="s">
        <v>157</v>
      </c>
      <c r="B32" s="157">
        <v>14</v>
      </c>
      <c r="C32" s="154" t="s">
        <v>256</v>
      </c>
      <c r="D32" s="154" t="s">
        <v>136</v>
      </c>
      <c r="E32" s="154" t="s">
        <v>257</v>
      </c>
      <c r="F32" s="154" t="s">
        <v>258</v>
      </c>
      <c r="G32" s="154" t="s">
        <v>255</v>
      </c>
      <c r="H32" s="153" t="s">
        <v>223</v>
      </c>
      <c r="I32" s="154" t="s">
        <v>99</v>
      </c>
      <c r="J32" s="153" t="s">
        <v>195</v>
      </c>
      <c r="K32" s="149"/>
    </row>
    <row r="33" spans="1:11">
      <c r="A33" s="152" t="s">
        <v>155</v>
      </c>
      <c r="B33" s="157">
        <v>5</v>
      </c>
      <c r="C33" s="154" t="s">
        <v>256</v>
      </c>
      <c r="D33" s="154" t="s">
        <v>136</v>
      </c>
      <c r="E33" s="154" t="s">
        <v>257</v>
      </c>
      <c r="F33" s="154" t="s">
        <v>259</v>
      </c>
      <c r="G33" s="154" t="s">
        <v>260</v>
      </c>
      <c r="H33" s="153" t="s">
        <v>209</v>
      </c>
      <c r="I33" s="154" t="s">
        <v>99</v>
      </c>
      <c r="J33" s="153" t="s">
        <v>195</v>
      </c>
      <c r="K33" s="149"/>
    </row>
    <row r="34" spans="1:11">
      <c r="A34" s="152" t="s">
        <v>162</v>
      </c>
      <c r="B34" s="157">
        <v>5</v>
      </c>
      <c r="C34" s="154" t="s">
        <v>256</v>
      </c>
      <c r="D34" s="154" t="s">
        <v>156</v>
      </c>
      <c r="E34" s="154" t="s">
        <v>253</v>
      </c>
      <c r="F34" s="154" t="s">
        <v>261</v>
      </c>
      <c r="G34" s="154" t="s">
        <v>253</v>
      </c>
      <c r="H34" s="153" t="s">
        <v>209</v>
      </c>
      <c r="I34" s="154" t="s">
        <v>99</v>
      </c>
      <c r="J34" s="153" t="s">
        <v>200</v>
      </c>
      <c r="K34" s="149"/>
    </row>
    <row r="35" spans="1:11">
      <c r="A35" s="152" t="s">
        <v>146</v>
      </c>
      <c r="B35" s="157">
        <v>12</v>
      </c>
      <c r="C35" s="154" t="s">
        <v>262</v>
      </c>
      <c r="D35" s="154" t="s">
        <v>145</v>
      </c>
      <c r="E35" s="154" t="s">
        <v>260</v>
      </c>
      <c r="F35" s="154" t="s">
        <v>263</v>
      </c>
      <c r="G35" s="154" t="s">
        <v>264</v>
      </c>
      <c r="H35" s="153" t="s">
        <v>265</v>
      </c>
      <c r="I35" s="154" t="s">
        <v>99</v>
      </c>
      <c r="J35" s="153" t="s">
        <v>195</v>
      </c>
      <c r="K35" s="149"/>
    </row>
    <row r="36" spans="1:11">
      <c r="A36" s="152" t="s">
        <v>144</v>
      </c>
      <c r="B36" s="157">
        <v>6</v>
      </c>
      <c r="C36" s="154" t="s">
        <v>262</v>
      </c>
      <c r="D36" s="154" t="s">
        <v>145</v>
      </c>
      <c r="E36" s="154" t="s">
        <v>260</v>
      </c>
      <c r="F36" s="154" t="s">
        <v>266</v>
      </c>
      <c r="G36" s="154" t="s">
        <v>267</v>
      </c>
      <c r="H36" s="153" t="s">
        <v>102</v>
      </c>
      <c r="I36" s="154" t="s">
        <v>99</v>
      </c>
      <c r="J36" s="153" t="s">
        <v>100</v>
      </c>
      <c r="K36" s="149"/>
    </row>
    <row r="37" spans="1:11">
      <c r="A37" s="152" t="s">
        <v>151</v>
      </c>
      <c r="B37" s="157">
        <v>6</v>
      </c>
      <c r="C37" s="154" t="s">
        <v>262</v>
      </c>
      <c r="D37" s="154" t="s">
        <v>152</v>
      </c>
      <c r="E37" s="154" t="s">
        <v>268</v>
      </c>
      <c r="F37" s="154" t="s">
        <v>269</v>
      </c>
      <c r="G37" s="154" t="s">
        <v>253</v>
      </c>
      <c r="H37" s="153" t="s">
        <v>213</v>
      </c>
      <c r="I37" s="154" t="s">
        <v>218</v>
      </c>
      <c r="J37" s="153" t="s">
        <v>200</v>
      </c>
      <c r="K37" s="149"/>
    </row>
    <row r="38" spans="1:11">
      <c r="A38" s="155" t="s">
        <v>270</v>
      </c>
      <c r="B38" s="158">
        <v>240</v>
      </c>
      <c r="C38" s="156" t="s">
        <v>271</v>
      </c>
      <c r="D38" s="156" t="s">
        <v>272</v>
      </c>
      <c r="E38" s="156" t="s">
        <v>273</v>
      </c>
      <c r="F38" s="156" t="s">
        <v>274</v>
      </c>
      <c r="G38" s="156" t="s">
        <v>268</v>
      </c>
      <c r="H38" s="159" t="s">
        <v>275</v>
      </c>
      <c r="I38" s="156" t="s">
        <v>276</v>
      </c>
      <c r="J38" s="159" t="s">
        <v>277</v>
      </c>
      <c r="K38" s="149"/>
    </row>
  </sheetData>
  <mergeCells count="6">
    <mergeCell ref="A7:K7"/>
    <mergeCell ref="A2:K2"/>
    <mergeCell ref="A3:K3"/>
    <mergeCell ref="A4:K4"/>
    <mergeCell ref="A5:K5"/>
    <mergeCell ref="A6:K6"/>
  </mergeCells>
  <pageMargins left="1" right="1" top="1" bottom="1" header="1" footer="1"/>
  <pageSetup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FE58-2E99-4AAD-A2C5-1A8083E6BE22}">
  <dimension ref="A1"/>
  <sheetViews>
    <sheetView workbookViewId="0">
      <selection activeCell="L111" sqref="L111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NEW OSAR</vt:lpstr>
      <vt:lpstr>Paydown Scenario</vt:lpstr>
      <vt:lpstr>Comm OSAR</vt:lpstr>
      <vt:lpstr>Operating Statement</vt:lpstr>
      <vt:lpstr>Rent Roll</vt:lpstr>
      <vt:lpstr>AR</vt:lpstr>
      <vt:lpstr>Tax</vt:lpstr>
      <vt:lpstr>Debt Service</vt:lpstr>
      <vt:lpstr>Variance Analysis</vt:lpstr>
      <vt:lpstr>Insurance</vt:lpstr>
      <vt:lpstr>Renovation Schedule</vt:lpstr>
      <vt:lpstr>Unit Mix</vt:lpstr>
      <vt:lpstr>Argus Comm Rollover Schedule</vt:lpstr>
      <vt:lpstr>'Comm OSAR'!Print_Area</vt:lpstr>
      <vt:lpstr>'NEW OSAR'!Print_Area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Altman, Rivka</dc:creator>
  <cp:lastModifiedBy>Ben Stamp</cp:lastModifiedBy>
  <dcterms:created xsi:type="dcterms:W3CDTF">2022-08-10T13:13:46Z</dcterms:created>
  <dcterms:modified xsi:type="dcterms:W3CDTF">2026-08-10T21:33:37Z</dcterms:modified>
</cp:coreProperties>
</file>